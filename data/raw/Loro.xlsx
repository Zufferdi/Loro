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que" sheetId="1" r:id="rId5"/>
    <sheet state="visible" name="Total" sheetId="2" r:id="rId6"/>
    <sheet state="visible" name="Détail" sheetId="3" r:id="rId7"/>
    <sheet state="visible" name="par habitant" sheetId="4" r:id="rId8"/>
    <sheet state="visible" name="Subv_TdR" sheetId="5" r:id="rId9"/>
    <sheet state="visible" name="Subv_Cinéforom" sheetId="6" r:id="rId10"/>
    <sheet state="visible" name="Subv_EMS" sheetId="7" r:id="rId11"/>
    <sheet state="visible" name="Subv_musique classique" sheetId="8" r:id="rId12"/>
    <sheet state="visible" name="Subv_Festival Cinéma" sheetId="9" r:id="rId13"/>
    <sheet state="visible" name="Subv_divers" sheetId="10" r:id="rId14"/>
  </sheets>
  <definedNames>
    <definedName hidden="1" localSheetId="2" name="_xlnm._FilterDatabase">'Détail'!$A$1:$AH$118</definedName>
    <definedName hidden="1" localSheetId="4" name="_xlnm._FilterDatabase">Subv_TdR!$D$2:$P$69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tc={a0d437a2-b6bb-4d01-95d1-61696428c97c}</author>
    <author>tc={b90dc4f8-ef20-4022-a7dc-227731cad26a}</author>
    <author>tc={e390450c-045e-4fdf-81c4-79dd89505769}</author>
  </authors>
  <commentList>
    <comment authorId="0" xr:uid="{a0d437a2-b6bb-4d01-95d1-61696428c97c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Swiss Olympic, Association
suisse de football,
Swiss Ice Hockey Federation
</t>
      </text>
    </comment>
    <comment authorId="1" xr:uid="{b90dc4f8-ef20-4022-a7dc-227731cad26a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0,5% du produit brut des jeux
</t>
      </text>
    </comment>
    <comment authorId="2" xr:uid="{e390450c-045e-4fdf-81c4-79dd89505769}" ref="A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L’effectif moyen de l’équipe de Direction, y compris le Directeur général, est de 9.2 emplois plein temps (EPT).
</t>
      </text>
    </comment>
  </commentList>
</comments>
</file>

<file path=xl/sharedStrings.xml><?xml version="1.0" encoding="utf-8"?>
<sst xmlns="http://schemas.openxmlformats.org/spreadsheetml/2006/main" count="678" uniqueCount="249">
  <si>
    <t>En millions</t>
  </si>
  <si>
    <t>Répartition par canton</t>
  </si>
  <si>
    <t xml:space="preserve">Bénéfice </t>
  </si>
  <si>
    <t>Chiffre affaires (OFJ)</t>
  </si>
  <si>
    <t>RBJ</t>
  </si>
  <si>
    <t>PBJ</t>
  </si>
  <si>
    <t>Source</t>
  </si>
  <si>
    <t>FR</t>
  </si>
  <si>
    <t>VD</t>
  </si>
  <si>
    <t>GE</t>
  </si>
  <si>
    <t>NE</t>
  </si>
  <si>
    <t>VS</t>
  </si>
  <si>
    <t>JU</t>
  </si>
  <si>
    <t>N°</t>
  </si>
  <si>
    <t>Note</t>
  </si>
  <si>
    <t>Courrier de Genève, Volume 71, Numéro 29, 30 janvier 1938, L'impartial, 16 juillet 1938, La Gruyère, 17 septembre 1938</t>
  </si>
  <si>
    <t>première loterie</t>
  </si>
  <si>
    <t>OFJ</t>
  </si>
  <si>
    <t>FAN - L'express, 3 octobre 1980</t>
  </si>
  <si>
    <t>La tribune de Genève, Numéro 219, 21 septembre 1982, OFJ</t>
  </si>
  <si>
    <t>L'impartial, 17 mai 1989, La tribune de Genève, Numéro 93, 22 avril 1980, L'impartial, 7 février 1981</t>
  </si>
  <si>
    <t>Journal du Jura, Volume 120, Numéro 160, 12 juillet 1983</t>
  </si>
  <si>
    <t>FAN - L'express, 19 février 1982, L'impartial, 18 août 1982</t>
  </si>
  <si>
    <t>Journal du Jura, Volume 120, Numéro 160, 12 juillet 1983, Le Franc-Montagnard, Volume 84, Numéro 12192, 22 juillet 1983</t>
  </si>
  <si>
    <t>L'impartial, 2 février 1983, Le Franc-Montagnard, Volume 84, Numéro 12192, 22 juillet 1983</t>
  </si>
  <si>
    <t>La tribune de Genève, Numéro 100, 30 avril 1984, FAN - L'express, 20 juin 1986, FAN - L'express, 12 avril 1985</t>
  </si>
  <si>
    <t>L'impartial, 14 mai 1986, FAN - L'express, 20 juin 1986, L'impartial, 23 août 1986</t>
  </si>
  <si>
    <t>Le nouvelliste, Volume 30, Numéro 233, 9 octobre 1997, FAN - L'express, 3 juin 1987</t>
  </si>
  <si>
    <t>L'impartial, 12 octobre 1987</t>
  </si>
  <si>
    <t>La tribune de Genève, Numéro nº 135/24, 13 juin 1989</t>
  </si>
  <si>
    <t>FAN - L'express, 4 juin 1988, La liberté, 25 mai 1988, Courrier de Genève, Volume 121, Numéro 134, 13 juin 1989</t>
  </si>
  <si>
    <t>L'impartial, 17 mai 1989, Journal du Jura, Volume 126, Numéro 135, 13 juin 1989, La tribune de Genève, Numéro nº 135/24, 13 juin 1989</t>
  </si>
  <si>
    <t>FAN - L'express, 14 février 1989, L'impartial, 17 mai 1989</t>
  </si>
  <si>
    <t>Le nouvelliste, Numéro 62, 15 mars 2003, L'impartial, 7 octobre 1991</t>
  </si>
  <si>
    <t>104e La Gruyère, 21 juin 1990, 105e, La liberté, 30 novembre 1990, L'impartial, 3 juin 1991, L'impartial, 7 octobre 1991</t>
  </si>
  <si>
    <t>OFJ, La tribune de Genève, Numéro nº 176-30, 29 juillet 2000</t>
  </si>
  <si>
    <t>107e, La Gruyère, 12 décembre 1991, Courrier de Genève, Volume 124, Numéro 34, 11 février 1992, La tribune de Genève, Numéro nº 34/7, 11 février 1992</t>
  </si>
  <si>
    <t>109e, La liberté, 10 décembre 1992</t>
  </si>
  <si>
    <t>L'impartial, 14 novembre 1994, Le nouvelliste, Volume 27, Numéro 182, 9 août 1994</t>
  </si>
  <si>
    <t>Le nouvelliste, Volume 27, Numéro 259, 9 novembre 1994, L'impartial, 14 novembre 1994, Le Franc-Montagnard, Volume 95, Numéro 13897, 9 décembre 1994</t>
  </si>
  <si>
    <t>Le nouvelliste, Volume 28, Numéro 174, 28 juillet 1995</t>
  </si>
  <si>
    <t>L'impartial, 30 octobre 2001</t>
  </si>
  <si>
    <t>Le nouvelliste, Volume 29, Numéro 160, 12 juillet 1996</t>
  </si>
  <si>
    <t>L'impartial, 28 juin 1997, Le nouvelliste, Volume 30, Numéro 233, 9 octobre 1997</t>
  </si>
  <si>
    <t>L'impartial, 28 juin 1997</t>
  </si>
  <si>
    <t>La liberté, 3 juillet 1998</t>
  </si>
  <si>
    <t>Le nouvelliste, Volume 30, Numéro 233, 9 octobre 1997</t>
  </si>
  <si>
    <t>La tribune de Genève, Numéro nº 176-30, 29 juillet 2000, FAN - L'express, 10 juillet 1999</t>
  </si>
  <si>
    <t>Le Franc-Montagnard, Volume 100, Numéro 14701, 2 août 2000, Le Franc-Montagnard, Volume 100, Numéro 14554, 28 juillet 1999</t>
  </si>
  <si>
    <t>La tribune de Genève, Numéro nº 176-30, 29 juillet 2000</t>
  </si>
  <si>
    <t>Le Franc-Montagnard, Volume 100, Numéro 14701, 2 août 2000</t>
  </si>
  <si>
    <t>FAN - L'express, 5 juillet 2002</t>
  </si>
  <si>
    <t>Le Franc-Montagnard, Volume 105, Numéro 15118, 8 juillet 2003</t>
  </si>
  <si>
    <t>Le nouvelliste, Numéro 62, 15 mars 2003, Le nouvelliste, Numéro 211, 13 septembre 2003</t>
  </si>
  <si>
    <t>Le nouvelliste, Numéro 149, 30 juin 2004</t>
  </si>
  <si>
    <t>RA</t>
  </si>
  <si>
    <t>RA, OFJ</t>
  </si>
  <si>
    <t>Produit brut des jeux en Suisse (milions)</t>
  </si>
  <si>
    <t>Distribué aux cantons, confédération etc.</t>
  </si>
  <si>
    <t>Loro</t>
  </si>
  <si>
    <t>Produit brut des jeux (milions)</t>
  </si>
  <si>
    <t>% produit brut des jeux réalisé en points de vente</t>
  </si>
  <si>
    <t>% produit brut des jeux réalisé sur la plateforme en ligne</t>
  </si>
  <si>
    <t>Bénéfice (milions)</t>
  </si>
  <si>
    <t>Commission pour les points de vente (milions)</t>
  </si>
  <si>
    <t>cafés et restaurants (nombre)</t>
  </si>
  <si>
    <t>kiosques (nombre)</t>
  </si>
  <si>
    <t>commerces (nombre)</t>
  </si>
  <si>
    <t>total (nombre)</t>
  </si>
  <si>
    <t>Commission moyenne</t>
  </si>
  <si>
    <t>Rémunération de la Direction (milions)</t>
  </si>
  <si>
    <t>EPT Direction</t>
  </si>
  <si>
    <t>Salaire moyen mensuel direction</t>
  </si>
  <si>
    <t>Marketing, publicité et communication (milions)</t>
  </si>
  <si>
    <t>Fondation suisse pour lencouragement du sport (FSES) - en millions</t>
  </si>
  <si>
    <t>Fédération suisse de courses de chevaux (FSC)</t>
  </si>
  <si>
    <t>Prévention du jeu excessif (milions)</t>
  </si>
  <si>
    <t>Joueurs en ligne</t>
  </si>
  <si>
    <t>Contrôles des mesures de protection des joueuses et joueurs via des clients mystères dans les points de vente (nombre)</t>
  </si>
  <si>
    <t>Swisslos</t>
  </si>
  <si>
    <t>Produit brut des jeux (milions)
Bruttospielertrag</t>
  </si>
  <si>
    <t>Prévention du jeu excessif (milions)
Spielsuchtabgabe</t>
  </si>
  <si>
    <t>Auszahlung an die Kantone</t>
  </si>
  <si>
    <t>CFMJ</t>
  </si>
  <si>
    <t>Produit brut des jeux (milions) - Casino A</t>
  </si>
  <si>
    <t>Produit brut des jeux (milions) - Casino B</t>
  </si>
  <si>
    <t>Produit brut des jeux (milions) - Total</t>
  </si>
  <si>
    <t>Produit brut des jeux (milions) - Offre en ligne</t>
  </si>
  <si>
    <t>Produit brut des jeux (milions) - FULL</t>
  </si>
  <si>
    <t>Impôt sur les maisons de jeu en francs (milions) - Casino A</t>
  </si>
  <si>
    <t>Impôt sur les maisons de jeu en francs (milions) - Casino B</t>
  </si>
  <si>
    <t>Impôt sur les maisons de jeu en francs (milions) - Offre en ligne</t>
  </si>
  <si>
    <t>Taxes totales des maisons de jeu</t>
  </si>
  <si>
    <t>Charges de transfert en faveur de lAVS</t>
  </si>
  <si>
    <t>Année</t>
  </si>
  <si>
    <t>Poste</t>
  </si>
  <si>
    <t>Libellé</t>
  </si>
  <si>
    <t>VAUD</t>
  </si>
  <si>
    <t>FRIBOURG</t>
  </si>
  <si>
    <t>VALAIS</t>
  </si>
  <si>
    <t>NEUCHÂTEL</t>
  </si>
  <si>
    <t>GENÈVE</t>
  </si>
  <si>
    <t>JURA</t>
  </si>
  <si>
    <t>TOTAL</t>
  </si>
  <si>
    <t>Intercantonal</t>
  </si>
  <si>
    <t>Culture</t>
  </si>
  <si>
    <t>Santé et handicap</t>
  </si>
  <si>
    <t>Jeunesse et éducation</t>
  </si>
  <si>
    <t>Action sociale et personnes âgées</t>
  </si>
  <si>
    <t>Sport</t>
  </si>
  <si>
    <t>Promotion, tourisme et développement</t>
  </si>
  <si>
    <t>Environnement</t>
  </si>
  <si>
    <t>Conservation du patrimoine</t>
  </si>
  <si>
    <t>Formation et recherche</t>
  </si>
  <si>
    <t>Répartition</t>
  </si>
  <si>
    <t>Répartiton</t>
  </si>
  <si>
    <t>Vente.1</t>
  </si>
  <si>
    <t>Billets Instantanés</t>
  </si>
  <si>
    <t>Vente.2</t>
  </si>
  <si>
    <t>Jeux de tirages</t>
  </si>
  <si>
    <t>Vente.3</t>
  </si>
  <si>
    <t>Paris sportifs</t>
  </si>
  <si>
    <t>Vente.4</t>
  </si>
  <si>
    <t>Loterie électronique</t>
  </si>
  <si>
    <t>Vente.5</t>
  </si>
  <si>
    <t>PMUR</t>
  </si>
  <si>
    <t>Vente.6</t>
  </si>
  <si>
    <t>Total</t>
  </si>
  <si>
    <t>Vente.7</t>
  </si>
  <si>
    <t>Point de vente</t>
  </si>
  <si>
    <t>Vente.8</t>
  </si>
  <si>
    <t>Population</t>
  </si>
  <si>
    <t>Dépense par habitant pour la Loro</t>
  </si>
  <si>
    <t>Canton</t>
  </si>
  <si>
    <t>Vaud</t>
  </si>
  <si>
    <t>Fribourg</t>
  </si>
  <si>
    <t>Valais</t>
  </si>
  <si>
    <t>Neuchâtel</t>
  </si>
  <si>
    <t>Genève</t>
  </si>
  <si>
    <t>Jura</t>
  </si>
  <si>
    <t>Romandie</t>
  </si>
  <si>
    <r>
      <rPr>
        <rFont val="Google Sans"/>
        <b/>
        <sz val="11.0"/>
      </rPr>
      <t>Dépense par habitant pour la Loterie electronique (Tactilo)</t>
    </r>
    <r>
      <rPr>
        <rFont val="Google Sans"/>
        <sz val="11.0"/>
      </rPr>
      <t xml:space="preserve"> - </t>
    </r>
    <r>
      <rPr>
        <rFont val="Google Sans"/>
        <color rgb="FF1155CC"/>
        <sz val="11.0"/>
        <u/>
      </rPr>
      <t>https://www.loterie-electronique.ch/fr/faq#t20n42</t>
    </r>
  </si>
  <si>
    <t>https://www.vd.ch/typo3temp/assets/pdfs/tactilo-les-cantons-romands-rejettent-la-decision-dinterdiction-1168623969.pdf</t>
  </si>
  <si>
    <t>Dépense par habitant pour les paris sportifs</t>
  </si>
  <si>
    <t xml:space="preserve">Tour de Romandie </t>
  </si>
  <si>
    <t>Budget total 2026</t>
  </si>
  <si>
    <t>Administration communale de Chalais</t>
  </si>
  <si>
    <t>Féminin</t>
  </si>
  <si>
    <t>Administration communale de Chambéry</t>
  </si>
  <si>
    <t>Administration communale de Saillon</t>
  </si>
  <si>
    <t>Assoc. Courses Cyclistes Lausanne</t>
  </si>
  <si>
    <t>Masculin</t>
  </si>
  <si>
    <t>Assoc. Organisation étape Aigle MY Tour de Romandie</t>
  </si>
  <si>
    <t>Assoc. pour lorganisation de létape Aigle-Martigny du Tour de Romandie 2021</t>
  </si>
  <si>
    <t>Assoc. pour l’organisation locale d’étapes du tour de Romandie à Bulle</t>
  </si>
  <si>
    <t>Assoc. Région Neuchâtel Littoral</t>
  </si>
  <si>
    <t>Assoc. Sport Evènement</t>
  </si>
  <si>
    <t>Assoc. Sport Événement, Vionnaz Torgon</t>
  </si>
  <si>
    <t>Assoc. Sport Tourisme Culture Vallorbe-Vallée de Joux</t>
  </si>
  <si>
    <t>Assoc. Tour de Romandie Les Diablerets</t>
  </si>
  <si>
    <t>Association Tour de Romandie</t>
  </si>
  <si>
    <t>Neuchatel</t>
  </si>
  <si>
    <t>Broye Sport Events</t>
  </si>
  <si>
    <t>Cimes Cycle La Chaux-de-Fonds</t>
  </si>
  <si>
    <t>Comité dorganisation Fribourg</t>
  </si>
  <si>
    <t>Commune d’Aigle</t>
  </si>
  <si>
    <t>Commune dOron</t>
  </si>
  <si>
    <t>Commune dYverdon-les-Bains</t>
  </si>
  <si>
    <t>Commune de Château-dOEx</t>
  </si>
  <si>
    <t>Commune de Conthey</t>
  </si>
  <si>
    <t>Commune de Crissier</t>
  </si>
  <si>
    <t>Commune de la Béroche</t>
  </si>
  <si>
    <t>Commune de Lausanne</t>
  </si>
  <si>
    <t>Commune de Leysin</t>
  </si>
  <si>
    <t>Commune de Montreux</t>
  </si>
  <si>
    <t>Commune de Morges</t>
  </si>
  <si>
    <t>Commune de Moudon</t>
  </si>
  <si>
    <t>Commune de Nyon</t>
  </si>
  <si>
    <t>Commune de Port-Valais</t>
  </si>
  <si>
    <t>Commune de Vufflens-la-Ville</t>
  </si>
  <si>
    <t>Cyclophile Romontois</t>
  </si>
  <si>
    <t>Cyclophile Sédunois, Sion</t>
  </si>
  <si>
    <t>Delémont</t>
  </si>
  <si>
    <t>Etape Ascona Sion</t>
  </si>
  <si>
    <t>Etape de Fribourg</t>
  </si>
  <si>
    <t>Fond. du Tour de Romandie</t>
  </si>
  <si>
    <t>Fond. Tour de Romandie</t>
  </si>
  <si>
    <t>Soutien exceptionnel CRTS</t>
  </si>
  <si>
    <t>Mont-sur Rolle</t>
  </si>
  <si>
    <t>Morgins 1875 Assoc.</t>
  </si>
  <si>
    <t>Tour de Romandie - Etapes NE</t>
  </si>
  <si>
    <t>Tour de Romandie Féminin</t>
  </si>
  <si>
    <t>Vallée de Joux-Juraparc</t>
  </si>
  <si>
    <t>Vélo-Club Fribourg</t>
  </si>
  <si>
    <t>Ville de Romont</t>
  </si>
  <si>
    <t>Ville de Vernier</t>
  </si>
  <si>
    <t>Commune de Bagnes</t>
  </si>
  <si>
    <t>Ouest Lausannois Org. dune étape darrivée</t>
  </si>
  <si>
    <t>Fond. Cinéforom</t>
  </si>
  <si>
    <t>Conférence des Présidents
des Organes de Répartition</t>
  </si>
  <si>
    <t>Soutien à la diversité de la production
audiovisuelle indépendante</t>
  </si>
  <si>
    <t>Fond. Cinéforom,</t>
  </si>
  <si>
    <t>Tertianum La Venise, Monthey</t>
  </si>
  <si>
    <t>Tertianum Les Marronniers, Martigny</t>
  </si>
  <si>
    <t>Tertianum Les Sources, Saxon</t>
  </si>
  <si>
    <t>Tertianum Les Tourelles, Martigny</t>
  </si>
  <si>
    <t>EMS Les Vergers, Aproz</t>
  </si>
  <si>
    <t>Fond. du Verbier Festival</t>
  </si>
  <si>
    <t>Orchestre de Chambre de Genève</t>
  </si>
  <si>
    <t>Orchestre de Chambre de Lausanne</t>
  </si>
  <si>
    <t>Orchestre de Chambre fribourgeois</t>
  </si>
  <si>
    <t>Fond. OSR, Genève</t>
  </si>
  <si>
    <t>Assoc. vaudoise des Amis de l’Orchestre de la Suisse Romande - AVAOSR</t>
  </si>
  <si>
    <t>Fond. de l'Orchestre de la Suisse Romande</t>
  </si>
  <si>
    <t>FIFF</t>
  </si>
  <si>
    <t>NIFFF</t>
  </si>
  <si>
    <t>GIFF</t>
  </si>
  <si>
    <t>FIFDH</t>
  </si>
  <si>
    <t>Fond. Salle de concerts et Congrès Sion</t>
  </si>
  <si>
    <t>Switzerland for UNHCR</t>
  </si>
  <si>
    <t>Fond. pour la Rénovation de la Caserne de la Garde Suisse Pontificale au Vatican</t>
  </si>
  <si>
    <t>Transports publics fribourgeois Holding (TPF) SA</t>
  </si>
  <si>
    <t>Fond. du Stade de Genève</t>
  </si>
  <si>
    <t>Commune de Sion - Mise en conformité Stade de Tourbillon</t>
  </si>
  <si>
    <t>Commune d’Yverdon-les-Bains Stade municipal</t>
  </si>
  <si>
    <t>Jura Tourisme</t>
  </si>
  <si>
    <t>Valais/Wallis Promotion</t>
  </si>
  <si>
    <t>Vaud Promotion</t>
  </si>
  <si>
    <t>Ski-Club Gendarmerie Vaudoise</t>
  </si>
  <si>
    <t>Vélo-Club de la Police cant. vaudoise</t>
  </si>
  <si>
    <t>Commission sportive suisse de police - Champ. dEurope de ski de la police aux Diablerets</t>
  </si>
  <si>
    <t>Police Cantonale Vaudoise Journée sportive de la Police cantonale au Centre sportif de Vallorbe</t>
  </si>
  <si>
    <t>Comm. sportive suisse de Police Soutien complémentaire pour lorg. du  Champ. dEurope de ski</t>
  </si>
  <si>
    <t>Fanfare de la Police cantonale valaisanne</t>
  </si>
  <si>
    <t>Championnat suisse de judo police</t>
  </si>
  <si>
    <t>Match Suisse-Finlande qualificatif pour les Champ. d’Europe football police</t>
  </si>
  <si>
    <t>Chorale de la Police fribourgeoise</t>
  </si>
  <si>
    <t>Groupement Sportif de la Police Cantonale Vaudoise</t>
  </si>
  <si>
    <t>Police cantonale section III Festival suisse des musiques de police 2023</t>
  </si>
  <si>
    <t>FC police judiciaire</t>
  </si>
  <si>
    <t>Interprofession de la Vigne et du Vin du Valais</t>
  </si>
  <si>
    <t>Athlétissima</t>
  </si>
  <si>
    <t>Fonds d’utilité publique du Gouvernement</t>
  </si>
  <si>
    <t>Détail dispo</t>
  </si>
  <si>
    <t>non</t>
  </si>
  <si>
    <t>oui</t>
  </si>
  <si>
    <t>part</t>
  </si>
  <si>
    <t>Associations à définir par le Gouvernement &gt; Guerre en Ukraine</t>
  </si>
  <si>
    <t>Marché-Concours national de chevaux - Prix du Gouvernement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</si>
</sst>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0.0"/>
    <numFmt numFmtId="166" formatCode="#,##0.0"/>
  </numFmts>
  <fonts count="10">
    <font>
      <sz val="10.0"/>
      <color rgb="FF000000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1.0"/>
      <color theme="1"/>
      <name val="Google Sans"/>
    </font>
    <font>
      <sz val="11.0"/>
      <color theme="1"/>
      <name val="Google Sans"/>
    </font>
    <font>
      <u/>
      <sz val="11.0"/>
      <color rgb="FF0000FF"/>
      <name val="Google Sans"/>
    </font>
    <font>
      <u/>
      <sz val="11.0"/>
      <color rgb="FF0000FF"/>
      <name val="Google Sans"/>
    </font>
    <font>
      <sz val="11.0"/>
      <color rgb="FF1F1F1F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164" xfId="0" applyAlignment="1" applyFont="1" applyNumberForma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 vertical="top"/>
    </xf>
    <xf borderId="0" fillId="0" fontId="3" numFmtId="3" xfId="0" applyFont="1" applyNumberFormat="1"/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0" fillId="0" fontId="2" numFmtId="165" xfId="0" applyAlignment="1" applyFont="1" applyNumberFormat="1">
      <alignment readingOrder="0" shrinkToFit="0" vertical="top" wrapText="1"/>
    </xf>
    <xf borderId="0" fillId="0" fontId="3" numFmtId="165" xfId="0" applyAlignment="1" applyFont="1" applyNumberFormat="1">
      <alignment readingOrder="0" shrinkToFit="0" vertical="top" wrapText="1"/>
    </xf>
    <xf borderId="0" fillId="0" fontId="2" numFmtId="4" xfId="0" applyAlignment="1" applyFont="1" applyNumberFormat="1">
      <alignment vertical="top"/>
    </xf>
    <xf borderId="0" fillId="0" fontId="2" numFmtId="3" xfId="0" applyAlignment="1" applyFont="1" applyNumberFormat="1">
      <alignment readingOrder="0" vertical="top"/>
    </xf>
    <xf borderId="0" fillId="2" fontId="2" numFmtId="0" xfId="0" applyAlignment="1" applyFill="1" applyFont="1">
      <alignment readingOrder="0" vertical="top"/>
    </xf>
    <xf borderId="0" fillId="2" fontId="3" numFmtId="165" xfId="0" applyAlignment="1" applyFont="1" applyNumberFormat="1">
      <alignment readingOrder="0" shrinkToFit="0" vertical="top" wrapText="1"/>
    </xf>
    <xf borderId="0" fillId="2" fontId="2" numFmtId="4" xfId="0" applyAlignment="1" applyFont="1" applyNumberFormat="1">
      <alignment vertical="top"/>
    </xf>
    <xf borderId="0" fillId="2" fontId="2" numFmtId="3" xfId="0" applyAlignment="1" applyFont="1" applyNumberFormat="1">
      <alignment readingOrder="0" vertical="top"/>
    </xf>
    <xf borderId="0" fillId="2" fontId="2" numFmtId="4" xfId="0" applyAlignment="1" applyFont="1" applyNumberForma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3" xfId="0" applyAlignment="1" applyFont="1" applyNumberFormat="1">
      <alignment vertical="top"/>
    </xf>
    <xf borderId="0" fillId="0" fontId="3" numFmtId="0" xfId="0" applyAlignment="1" applyFont="1">
      <alignment readingOrder="0" shrinkToFit="0" vertical="top" wrapText="1"/>
    </xf>
    <xf borderId="0" fillId="0" fontId="2" numFmtId="166" xfId="0" applyAlignment="1" applyFont="1" applyNumberFormat="1">
      <alignment readingOrder="0" vertical="top"/>
    </xf>
    <xf borderId="0" fillId="0" fontId="2" numFmtId="2" xfId="0" applyAlignment="1" applyFont="1" applyNumberFormat="1">
      <alignment readingOrder="0" vertical="top"/>
    </xf>
    <xf borderId="0" fillId="3" fontId="2" numFmtId="0" xfId="0" applyAlignment="1" applyFill="1" applyFont="1">
      <alignment vertical="top"/>
    </xf>
    <xf borderId="0" fillId="3" fontId="2" numFmtId="0" xfId="0" applyAlignment="1" applyFont="1">
      <alignment readingOrder="0" shrinkToFit="0" vertical="top" wrapText="1"/>
    </xf>
    <xf borderId="0" fillId="3" fontId="2" numFmtId="4" xfId="0" applyAlignment="1" applyFont="1" applyNumberFormat="1">
      <alignment vertical="top"/>
    </xf>
    <xf borderId="0" fillId="3" fontId="2" numFmtId="3" xfId="0" applyAlignment="1" applyFont="1" applyNumberFormat="1">
      <alignment readingOrder="0" vertical="top"/>
    </xf>
    <xf borderId="0" fillId="3" fontId="2" numFmtId="0" xfId="0" applyAlignment="1" applyFont="1">
      <alignment readingOrder="0" vertical="top"/>
    </xf>
    <xf borderId="0" fillId="0" fontId="3" numFmtId="4" xfId="0" applyAlignment="1" applyFont="1" applyNumberFormat="1">
      <alignment readingOrder="0" shrinkToFit="0" vertical="top" wrapText="1"/>
    </xf>
    <xf borderId="0" fillId="2" fontId="2" numFmtId="0" xfId="0" applyAlignment="1" applyFont="1">
      <alignment vertical="top"/>
    </xf>
    <xf borderId="0" fillId="0" fontId="2" numFmtId="2" xfId="0" applyAlignment="1" applyFont="1" applyNumberFormat="1">
      <alignment vertical="top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2" xfId="0" applyFont="1" applyNumberFormat="1"/>
    <xf borderId="0" fillId="2" fontId="2" numFmtId="4" xfId="0" applyFont="1" applyNumberFormat="1"/>
    <xf borderId="0" fillId="0" fontId="2" numFmtId="3" xfId="0" applyAlignment="1" applyFont="1" applyNumberFormat="1">
      <alignment readingOrder="0" shrinkToFit="0" vertical="top" wrapText="1"/>
    </xf>
    <xf borderId="0" fillId="0" fontId="2" numFmtId="3" xfId="0" applyAlignment="1" applyFont="1" applyNumberFormat="1">
      <alignment shrinkToFit="0" vertical="top" wrapText="1"/>
    </xf>
    <xf borderId="0" fillId="4" fontId="2" numFmtId="3" xfId="0" applyAlignment="1" applyFill="1" applyFont="1" applyNumberFormat="1">
      <alignment readingOrder="0"/>
    </xf>
    <xf borderId="0" fillId="4" fontId="2" numFmtId="10" xfId="0" applyFont="1" applyNumberFormat="1"/>
    <xf borderId="0" fillId="4" fontId="2" numFmtId="10" xfId="0" applyAlignment="1" applyFont="1" applyNumberFormat="1">
      <alignment readingOrder="0"/>
    </xf>
    <xf borderId="0" fillId="4" fontId="2" numFmtId="3" xfId="0" applyFont="1" applyNumberFormat="1"/>
    <xf borderId="0" fillId="4" fontId="1" numFmtId="3" xfId="0" applyAlignment="1" applyFont="1" applyNumberFormat="1">
      <alignment readingOrder="0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2" fontId="2" numFmtId="3" xfId="0" applyAlignment="1" applyFont="1" applyNumberFormat="1">
      <alignment readingOrder="0"/>
    </xf>
    <xf borderId="0" fillId="2" fontId="4" numFmtId="3" xfId="0" applyAlignment="1" applyFont="1" applyNumberFormat="1">
      <alignment horizontal="right" vertical="bottom"/>
    </xf>
    <xf borderId="0" fillId="2" fontId="2" numFmtId="10" xfId="0" applyFont="1" applyNumberFormat="1"/>
    <xf borderId="0" fillId="2" fontId="2" numFmtId="10" xfId="0" applyAlignment="1" applyFont="1" applyNumberFormat="1">
      <alignment readingOrder="0"/>
    </xf>
    <xf borderId="0" fillId="2" fontId="3" numFmtId="3" xfId="0" applyFont="1" applyNumberFormat="1"/>
    <xf borderId="0" fillId="2" fontId="2" numFmtId="3" xfId="0" applyFont="1" applyNumberFormat="1"/>
    <xf borderId="0" fillId="2" fontId="3" numFmtId="3" xfId="0" applyAlignment="1" applyFont="1" applyNumberFormat="1">
      <alignment readingOrder="0"/>
    </xf>
    <xf borderId="0" fillId="3" fontId="2" numFmtId="3" xfId="0" applyAlignment="1" applyFont="1" applyNumberFormat="1">
      <alignment readingOrder="0"/>
    </xf>
    <xf borderId="0" fillId="3" fontId="2" numFmtId="10" xfId="0" applyFont="1" applyNumberFormat="1"/>
    <xf borderId="0" fillId="3" fontId="2" numFmtId="10" xfId="0" applyAlignment="1" applyFont="1" applyNumberFormat="1">
      <alignment readingOrder="0"/>
    </xf>
    <xf borderId="0" fillId="3" fontId="2" numFmtId="3" xfId="0" applyFont="1" applyNumberFormat="1"/>
    <xf borderId="0" fillId="5" fontId="2" numFmtId="3" xfId="0" applyAlignment="1" applyFill="1" applyFont="1" applyNumberFormat="1">
      <alignment readingOrder="0"/>
    </xf>
    <xf borderId="0" fillId="5" fontId="2" numFmtId="10" xfId="0" applyFont="1" applyNumberFormat="1"/>
    <xf borderId="0" fillId="5" fontId="2" numFmtId="10" xfId="0" applyAlignment="1" applyFont="1" applyNumberFormat="1">
      <alignment readingOrder="0"/>
    </xf>
    <xf borderId="0" fillId="5" fontId="2" numFmtId="3" xfId="0" applyFont="1" applyNumberFormat="1"/>
    <xf borderId="0" fillId="3" fontId="4" numFmtId="3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0" fillId="0" fontId="6" numFmtId="2" xfId="0" applyFont="1" applyNumberFormat="1"/>
    <xf borderId="0" fillId="0" fontId="6" numFmtId="0" xfId="0" applyFont="1"/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9" numFmtId="2" xfId="0" applyFont="1" applyNumberFormat="1"/>
    <xf borderId="0" fillId="0" fontId="5" numFmtId="0" xfId="0" applyAlignment="1" applyFont="1">
      <alignment readingOrder="0" vertical="top"/>
    </xf>
    <xf borderId="0" fillId="0" fontId="3" numFmtId="3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Loterie par habitant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 habitant'!$A$3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 habitant'!$B$2:$M$2</c:f>
            </c:strRef>
          </c:cat>
          <c:val>
            <c:numRef>
              <c:f>'par habitant'!$B$3:$M$3</c:f>
              <c:numCache/>
            </c:numRef>
          </c:val>
          <c:smooth val="0"/>
        </c:ser>
        <c:ser>
          <c:idx val="1"/>
          <c:order val="1"/>
          <c:tx>
            <c:strRef>
              <c:f>'par habitant'!$A$4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 habitant'!$B$2:$M$2</c:f>
            </c:strRef>
          </c:cat>
          <c:val>
            <c:numRef>
              <c:f>'par habitant'!$B$4:$M$4</c:f>
              <c:numCache/>
            </c:numRef>
          </c:val>
          <c:smooth val="0"/>
        </c:ser>
        <c:ser>
          <c:idx val="2"/>
          <c:order val="2"/>
          <c:tx>
            <c:strRef>
              <c:f>'par habitant'!$A$5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'par habitant'!$B$2:$M$2</c:f>
            </c:strRef>
          </c:cat>
          <c:val>
            <c:numRef>
              <c:f>'par habitant'!$B$5:$M$5</c:f>
              <c:numCache/>
            </c:numRef>
          </c:val>
          <c:smooth val="0"/>
        </c:ser>
        <c:ser>
          <c:idx val="3"/>
          <c:order val="3"/>
          <c:tx>
            <c:strRef>
              <c:f>'par habitant'!$A$6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'par habitant'!$B$2:$M$2</c:f>
            </c:strRef>
          </c:cat>
          <c:val>
            <c:numRef>
              <c:f>'par habitant'!$B$6:$M$6</c:f>
              <c:numCache/>
            </c:numRef>
          </c:val>
          <c:smooth val="0"/>
        </c:ser>
        <c:ser>
          <c:idx val="4"/>
          <c:order val="4"/>
          <c:tx>
            <c:strRef>
              <c:f>'par habitant'!$A$7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'par habitant'!$B$2:$M$2</c:f>
            </c:strRef>
          </c:cat>
          <c:val>
            <c:numRef>
              <c:f>'par habitant'!$B$7:$M$7</c:f>
              <c:numCache/>
            </c:numRef>
          </c:val>
          <c:smooth val="0"/>
        </c:ser>
        <c:ser>
          <c:idx val="5"/>
          <c:order val="5"/>
          <c:tx>
            <c:strRef>
              <c:f>'par habitant'!$A$8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'par habitant'!$B$2:$M$2</c:f>
            </c:strRef>
          </c:cat>
          <c:val>
            <c:numRef>
              <c:f>'par habitant'!$B$8:$M$8</c:f>
              <c:numCache/>
            </c:numRef>
          </c:val>
          <c:smooth val="0"/>
        </c:ser>
        <c:ser>
          <c:idx val="6"/>
          <c:order val="6"/>
          <c:tx>
            <c:strRef>
              <c:f>'par habitant'!$A$9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'par habitant'!$B$2:$M$2</c:f>
            </c:strRef>
          </c:cat>
          <c:val>
            <c:numRef>
              <c:f>'par habitant'!$B$9:$M$9</c:f>
              <c:numCache/>
            </c:numRef>
          </c:val>
          <c:smooth val="0"/>
        </c:ser>
        <c:axId val="1578105979"/>
        <c:axId val="269151842"/>
      </c:lineChart>
      <c:catAx>
        <c:axId val="1578105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151842"/>
      </c:catAx>
      <c:valAx>
        <c:axId val="269151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1059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Tactilo par habitant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 habitant'!$A$14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 habitant'!$B$13:$M$13</c:f>
            </c:strRef>
          </c:cat>
          <c:val>
            <c:numRef>
              <c:f>'par habitant'!$B$14:$M$14</c:f>
              <c:numCache/>
            </c:numRef>
          </c:val>
          <c:smooth val="0"/>
        </c:ser>
        <c:ser>
          <c:idx val="1"/>
          <c:order val="1"/>
          <c:tx>
            <c:strRef>
              <c:f>'par habitant'!$A$15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 habitant'!$B$13:$M$13</c:f>
            </c:strRef>
          </c:cat>
          <c:val>
            <c:numRef>
              <c:f>'par habitant'!$B$15:$M$15</c:f>
              <c:numCache/>
            </c:numRef>
          </c:val>
          <c:smooth val="0"/>
        </c:ser>
        <c:ser>
          <c:idx val="2"/>
          <c:order val="2"/>
          <c:tx>
            <c:strRef>
              <c:f>'par habitant'!$A$16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'par habitant'!$B$13:$M$13</c:f>
            </c:strRef>
          </c:cat>
          <c:val>
            <c:numRef>
              <c:f>'par habitant'!$B$16:$M$16</c:f>
              <c:numCache/>
            </c:numRef>
          </c:val>
          <c:smooth val="0"/>
        </c:ser>
        <c:ser>
          <c:idx val="3"/>
          <c:order val="3"/>
          <c:tx>
            <c:strRef>
              <c:f>'par habitant'!$A$17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'par habitant'!$B$13:$M$13</c:f>
            </c:strRef>
          </c:cat>
          <c:val>
            <c:numRef>
              <c:f>'par habitant'!$B$17:$M$17</c:f>
              <c:numCache/>
            </c:numRef>
          </c:val>
          <c:smooth val="0"/>
        </c:ser>
        <c:ser>
          <c:idx val="4"/>
          <c:order val="4"/>
          <c:tx>
            <c:strRef>
              <c:f>'par habitant'!$A$18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'par habitant'!$B$13:$M$13</c:f>
            </c:strRef>
          </c:cat>
          <c:val>
            <c:numRef>
              <c:f>'par habitant'!$B$18:$M$18</c:f>
              <c:numCache/>
            </c:numRef>
          </c:val>
          <c:smooth val="0"/>
        </c:ser>
        <c:ser>
          <c:idx val="5"/>
          <c:order val="5"/>
          <c:tx>
            <c:strRef>
              <c:f>'par habitant'!$A$19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'par habitant'!$B$13:$M$13</c:f>
            </c:strRef>
          </c:cat>
          <c:val>
            <c:numRef>
              <c:f>'par habitant'!$B$19:$M$19</c:f>
              <c:numCache/>
            </c:numRef>
          </c:val>
          <c:smooth val="0"/>
        </c:ser>
        <c:ser>
          <c:idx val="6"/>
          <c:order val="6"/>
          <c:tx>
            <c:strRef>
              <c:f>'par habitant'!$A$20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'par habitant'!$B$13:$M$13</c:f>
            </c:strRef>
          </c:cat>
          <c:val>
            <c:numRef>
              <c:f>'par habitant'!$B$20:$M$20</c:f>
              <c:numCache/>
            </c:numRef>
          </c:val>
          <c:smooth val="0"/>
        </c:ser>
        <c:axId val="2135995299"/>
        <c:axId val="1631603441"/>
      </c:lineChart>
      <c:catAx>
        <c:axId val="2135995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603441"/>
      </c:catAx>
      <c:valAx>
        <c:axId val="1631603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995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Paris sportifs par habitant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 habitant'!$A$25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'par habitant'!$B$24:$M$24</c:f>
            </c:strRef>
          </c:cat>
          <c:val>
            <c:numRef>
              <c:f>'par habitant'!$B$25:$M$25</c:f>
              <c:numCache/>
            </c:numRef>
          </c:val>
          <c:smooth val="0"/>
        </c:ser>
        <c:ser>
          <c:idx val="1"/>
          <c:order val="1"/>
          <c:tx>
            <c:strRef>
              <c:f>'par habitant'!$A$26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'par habitant'!$B$24:$M$24</c:f>
            </c:strRef>
          </c:cat>
          <c:val>
            <c:numRef>
              <c:f>'par habitant'!$B$26:$M$26</c:f>
              <c:numCache/>
            </c:numRef>
          </c:val>
          <c:smooth val="0"/>
        </c:ser>
        <c:ser>
          <c:idx val="2"/>
          <c:order val="2"/>
          <c:tx>
            <c:strRef>
              <c:f>'par habitant'!$A$27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'par habitant'!$B$24:$M$24</c:f>
            </c:strRef>
          </c:cat>
          <c:val>
            <c:numRef>
              <c:f>'par habitant'!$B$27:$M$27</c:f>
              <c:numCache/>
            </c:numRef>
          </c:val>
          <c:smooth val="0"/>
        </c:ser>
        <c:ser>
          <c:idx val="3"/>
          <c:order val="3"/>
          <c:tx>
            <c:strRef>
              <c:f>'par habitant'!$A$28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'par habitant'!$B$24:$M$24</c:f>
            </c:strRef>
          </c:cat>
          <c:val>
            <c:numRef>
              <c:f>'par habitant'!$B$28:$M$28</c:f>
              <c:numCache/>
            </c:numRef>
          </c:val>
          <c:smooth val="0"/>
        </c:ser>
        <c:ser>
          <c:idx val="4"/>
          <c:order val="4"/>
          <c:tx>
            <c:strRef>
              <c:f>'par habitant'!$A$29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'par habitant'!$B$24:$M$24</c:f>
            </c:strRef>
          </c:cat>
          <c:val>
            <c:numRef>
              <c:f>'par habitant'!$B$29:$M$29</c:f>
              <c:numCache/>
            </c:numRef>
          </c:val>
          <c:smooth val="0"/>
        </c:ser>
        <c:ser>
          <c:idx val="5"/>
          <c:order val="5"/>
          <c:tx>
            <c:strRef>
              <c:f>'par habitant'!$A$30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'par habitant'!$B$24:$M$24</c:f>
            </c:strRef>
          </c:cat>
          <c:val>
            <c:numRef>
              <c:f>'par habitant'!$B$30:$M$30</c:f>
              <c:numCache/>
            </c:numRef>
          </c:val>
          <c:smooth val="0"/>
        </c:ser>
        <c:ser>
          <c:idx val="6"/>
          <c:order val="6"/>
          <c:tx>
            <c:strRef>
              <c:f>'par habitant'!$A$31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'par habitant'!$B$24:$M$24</c:f>
            </c:strRef>
          </c:cat>
          <c:val>
            <c:numRef>
              <c:f>'par habitant'!$B$31:$M$31</c:f>
              <c:numCache/>
            </c:numRef>
          </c:val>
          <c:smooth val="0"/>
        </c:ser>
        <c:axId val="1216234143"/>
        <c:axId val="545816571"/>
      </c:lineChart>
      <c:catAx>
        <c:axId val="1216234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816571"/>
      </c:catAx>
      <c:valAx>
        <c:axId val="545816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234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2</xdr:row>
      <xdr:rowOff>9525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38100</xdr:colOff>
      <xdr:row>18</xdr:row>
      <xdr:rowOff>209550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38100</xdr:colOff>
      <xdr:row>36</xdr:row>
      <xdr:rowOff>66675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mitri Zufferey" id="{9a0a157c-8526-4e41-a5b4-abef00b90a8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2" dT="2026-04-09T07:38:26.00" personId="{9a0a157c-8526-4e41-a5b4-abef00b90a80}" id="{a0d437a2-b6bb-4d01-95d1-61696428c97c}" done="0">
    <x18tc:text xml:space="preserve">Swiss Olympic, Association
suisse de football,
Swiss Ice Hockey Federation</x18tc:text>
  </x18tc:threadedComment>
  <x18tc:threadedComment ref="AA17" dT="2026-04-09T07:20:01.00" personId="{9a0a157c-8526-4e41-a5b4-abef00b90a80}" id="{e390450c-045e-4fdf-81c4-79dd89505769}" done="1">
    <x18tc:text xml:space="preserve">L’effectif moyen de l’équipe de Direction, y compris le Directeur général, est de 9.2 emplois plein temps (EPT).</x18tc:text>
  </x18tc:threadedComment>
  <x18tc:threadedComment ref="B25" dT="2026-04-09T07:49:11.00" personId="{9a0a157c-8526-4e41-a5b4-abef00b90a80}" id="{b90dc4f8-ef20-4022-a7dc-227731cad26a}" done="0">
    <x18tc:text xml:space="preserve">0,5% du produit brut des jeux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erie-electronique.ch/fr/faq" TargetMode="External"/><Relationship Id="rId2" Type="http://schemas.openxmlformats.org/officeDocument/2006/relationships/hyperlink" Target="https://www.vd.ch/typo3temp/assets/pdfs/tactilo-les-cantons-romands-rejettent-la-decision-dinterdiction-1168623969.pdf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4.75"/>
    <col customWidth="1" min="4" max="4" width="12.0"/>
  </cols>
  <sheetData>
    <row r="1">
      <c r="B1" s="1" t="s">
        <v>0</v>
      </c>
      <c r="C1" s="2"/>
      <c r="D1" s="3"/>
      <c r="E1" s="3"/>
      <c r="G1" s="4" t="s">
        <v>1</v>
      </c>
      <c r="H1" s="4"/>
      <c r="I1" s="4"/>
      <c r="J1" s="4"/>
      <c r="K1" s="4"/>
      <c r="L1" s="4"/>
      <c r="M1" s="3"/>
      <c r="N1" s="3"/>
    </row>
    <row r="2"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3" t="s">
        <v>13</v>
      </c>
      <c r="N2" s="3" t="s">
        <v>14</v>
      </c>
    </row>
    <row r="3">
      <c r="A3" s="3">
        <v>1938.0</v>
      </c>
      <c r="B3" s="2">
        <f>1.154942+0.56164264+0.412947</f>
        <v>2.12953164</v>
      </c>
      <c r="C3" s="2"/>
      <c r="D3" s="3"/>
      <c r="E3" s="3">
        <f>0.95494+0.56164264</f>
        <v>1.51658264</v>
      </c>
      <c r="F3" s="3" t="s">
        <v>15</v>
      </c>
      <c r="G3" s="4">
        <f> 105676+74677.32</f>
        <v>180353.32</v>
      </c>
      <c r="H3" s="4">
        <f>388438+203986</f>
        <v>592424</v>
      </c>
      <c r="I3" s="5">
        <f>176267+123099+80041</f>
        <v>379407</v>
      </c>
      <c r="J3" s="4">
        <f>176693+100868</f>
        <v>277561</v>
      </c>
      <c r="K3" s="4">
        <f>107866+59010+47655</f>
        <v>214531</v>
      </c>
      <c r="L3" s="6"/>
      <c r="M3" s="7">
        <v>46082.0</v>
      </c>
      <c r="N3" s="3" t="s">
        <v>16</v>
      </c>
    </row>
    <row r="4">
      <c r="A4" s="3">
        <v>1939.0</v>
      </c>
      <c r="B4" s="8"/>
      <c r="C4" s="8"/>
      <c r="G4" s="6"/>
      <c r="H4" s="6"/>
      <c r="I4" s="6"/>
      <c r="J4" s="6"/>
      <c r="K4" s="6"/>
      <c r="L4" s="6"/>
    </row>
    <row r="5">
      <c r="A5" s="3">
        <v>1940.0</v>
      </c>
      <c r="B5" s="8"/>
      <c r="C5" s="2">
        <v>9.0</v>
      </c>
      <c r="F5" s="3" t="s">
        <v>17</v>
      </c>
      <c r="G5" s="6"/>
      <c r="H5" s="6"/>
      <c r="I5" s="6"/>
      <c r="J5" s="6"/>
      <c r="K5" s="6"/>
      <c r="L5" s="6"/>
    </row>
    <row r="6">
      <c r="A6" s="3">
        <v>1941.0</v>
      </c>
      <c r="B6" s="8"/>
      <c r="C6" s="8"/>
      <c r="G6" s="6"/>
      <c r="H6" s="6"/>
      <c r="I6" s="6"/>
      <c r="J6" s="6"/>
      <c r="K6" s="6"/>
      <c r="L6" s="6"/>
    </row>
    <row r="7">
      <c r="A7" s="3">
        <v>1942.0</v>
      </c>
      <c r="B7" s="8"/>
      <c r="C7" s="8"/>
      <c r="G7" s="6"/>
      <c r="H7" s="6"/>
      <c r="I7" s="6"/>
      <c r="J7" s="6"/>
      <c r="K7" s="6"/>
      <c r="L7" s="6"/>
    </row>
    <row r="8">
      <c r="A8" s="3">
        <v>1943.0</v>
      </c>
      <c r="B8" s="8"/>
      <c r="C8" s="8"/>
      <c r="G8" s="6"/>
      <c r="H8" s="6"/>
      <c r="I8" s="6"/>
      <c r="J8" s="6"/>
      <c r="K8" s="6"/>
      <c r="L8" s="6"/>
    </row>
    <row r="9">
      <c r="A9" s="3">
        <v>1944.0</v>
      </c>
      <c r="B9" s="8"/>
      <c r="C9" s="8"/>
      <c r="G9" s="6"/>
      <c r="H9" s="6"/>
      <c r="I9" s="6"/>
      <c r="J9" s="6"/>
      <c r="K9" s="6"/>
      <c r="L9" s="6"/>
    </row>
    <row r="10">
      <c r="A10" s="3">
        <v>1945.0</v>
      </c>
      <c r="B10" s="8"/>
      <c r="C10" s="8"/>
      <c r="G10" s="6"/>
      <c r="H10" s="6"/>
      <c r="I10" s="6"/>
      <c r="J10" s="6"/>
      <c r="K10" s="6"/>
      <c r="L10" s="6"/>
    </row>
    <row r="11">
      <c r="A11" s="3">
        <v>1946.0</v>
      </c>
      <c r="B11" s="8"/>
      <c r="C11" s="8"/>
      <c r="G11" s="6"/>
      <c r="H11" s="6"/>
      <c r="I11" s="6"/>
      <c r="J11" s="6"/>
      <c r="K11" s="6"/>
      <c r="L11" s="6"/>
    </row>
    <row r="12">
      <c r="A12" s="3">
        <v>1947.0</v>
      </c>
      <c r="B12" s="8"/>
      <c r="C12" s="8"/>
      <c r="G12" s="6"/>
      <c r="H12" s="6"/>
      <c r="I12" s="6"/>
      <c r="J12" s="6"/>
      <c r="K12" s="6"/>
      <c r="L12" s="6"/>
    </row>
    <row r="13">
      <c r="A13" s="3">
        <v>1948.0</v>
      </c>
      <c r="B13" s="8"/>
      <c r="C13" s="8"/>
      <c r="G13" s="6"/>
      <c r="H13" s="6"/>
      <c r="I13" s="6"/>
      <c r="J13" s="6"/>
      <c r="K13" s="6"/>
      <c r="L13" s="6"/>
    </row>
    <row r="14">
      <c r="A14" s="3">
        <v>1949.0</v>
      </c>
      <c r="B14" s="8"/>
      <c r="C14" s="8"/>
      <c r="G14" s="6"/>
      <c r="H14" s="6"/>
      <c r="I14" s="6"/>
      <c r="J14" s="6"/>
      <c r="K14" s="6"/>
      <c r="L14" s="6"/>
    </row>
    <row r="15">
      <c r="A15" s="3">
        <v>1950.0</v>
      </c>
      <c r="B15" s="8"/>
      <c r="C15" s="2">
        <v>6.2</v>
      </c>
      <c r="F15" s="3" t="s">
        <v>17</v>
      </c>
      <c r="G15" s="6"/>
      <c r="H15" s="6"/>
      <c r="I15" s="6"/>
      <c r="J15" s="6"/>
      <c r="K15" s="6"/>
      <c r="L15" s="6"/>
    </row>
    <row r="16">
      <c r="A16" s="3">
        <v>1951.0</v>
      </c>
      <c r="B16" s="8"/>
      <c r="C16" s="8"/>
      <c r="G16" s="6"/>
      <c r="H16" s="6"/>
      <c r="I16" s="6"/>
      <c r="J16" s="6"/>
      <c r="K16" s="6"/>
      <c r="L16" s="6"/>
    </row>
    <row r="17">
      <c r="A17" s="3">
        <v>1952.0</v>
      </c>
      <c r="B17" s="8"/>
      <c r="C17" s="8"/>
      <c r="G17" s="6"/>
      <c r="H17" s="6"/>
      <c r="I17" s="6"/>
      <c r="J17" s="6"/>
      <c r="K17" s="6"/>
      <c r="L17" s="6"/>
    </row>
    <row r="18">
      <c r="A18" s="3">
        <v>1953.0</v>
      </c>
      <c r="B18" s="8"/>
      <c r="C18" s="8"/>
      <c r="G18" s="6"/>
      <c r="H18" s="6"/>
      <c r="I18" s="6"/>
      <c r="J18" s="6"/>
      <c r="K18" s="6"/>
      <c r="L18" s="6"/>
    </row>
    <row r="19">
      <c r="A19" s="3">
        <v>1954.0</v>
      </c>
      <c r="B19" s="8"/>
      <c r="C19" s="8"/>
      <c r="G19" s="6"/>
      <c r="H19" s="6"/>
      <c r="I19" s="6"/>
      <c r="J19" s="6"/>
      <c r="K19" s="6"/>
      <c r="L19" s="6"/>
    </row>
    <row r="20">
      <c r="A20" s="3">
        <v>1955.0</v>
      </c>
      <c r="B20" s="8"/>
      <c r="C20" s="8"/>
      <c r="G20" s="6"/>
      <c r="H20" s="6"/>
      <c r="I20" s="6"/>
      <c r="J20" s="6"/>
      <c r="K20" s="6"/>
      <c r="L20" s="6"/>
    </row>
    <row r="21">
      <c r="A21" s="3">
        <v>1956.0</v>
      </c>
      <c r="B21" s="8"/>
      <c r="C21" s="8"/>
      <c r="G21" s="6"/>
      <c r="H21" s="6"/>
      <c r="I21" s="6"/>
      <c r="J21" s="6"/>
      <c r="K21" s="6"/>
      <c r="L21" s="6"/>
    </row>
    <row r="22">
      <c r="A22" s="3">
        <v>1957.0</v>
      </c>
      <c r="B22" s="8"/>
      <c r="C22" s="8"/>
      <c r="G22" s="6"/>
      <c r="H22" s="6"/>
      <c r="I22" s="6"/>
      <c r="J22" s="6"/>
      <c r="K22" s="6"/>
      <c r="L22" s="6"/>
    </row>
    <row r="23">
      <c r="A23" s="3">
        <v>1958.0</v>
      </c>
      <c r="B23" s="8"/>
      <c r="C23" s="8"/>
      <c r="G23" s="6"/>
      <c r="H23" s="6"/>
      <c r="I23" s="6"/>
      <c r="J23" s="6"/>
      <c r="K23" s="6"/>
      <c r="L23" s="6"/>
    </row>
    <row r="24">
      <c r="A24" s="3">
        <v>1959.0</v>
      </c>
      <c r="B24" s="8"/>
      <c r="C24" s="8"/>
      <c r="G24" s="6"/>
      <c r="H24" s="6"/>
      <c r="I24" s="6"/>
      <c r="J24" s="6"/>
      <c r="K24" s="6"/>
      <c r="L24" s="6"/>
    </row>
    <row r="25">
      <c r="A25" s="3">
        <v>1960.0</v>
      </c>
      <c r="B25" s="8"/>
      <c r="C25" s="2">
        <v>7.8</v>
      </c>
      <c r="F25" s="3" t="s">
        <v>17</v>
      </c>
      <c r="G25" s="6"/>
      <c r="H25" s="6"/>
      <c r="I25" s="6"/>
      <c r="J25" s="6"/>
      <c r="K25" s="6"/>
      <c r="L25" s="6"/>
    </row>
    <row r="26">
      <c r="A26" s="3">
        <v>1961.0</v>
      </c>
      <c r="B26" s="8"/>
      <c r="C26" s="8"/>
      <c r="G26" s="6"/>
      <c r="H26" s="6"/>
      <c r="I26" s="6"/>
      <c r="J26" s="6"/>
      <c r="K26" s="6"/>
      <c r="L26" s="6"/>
    </row>
    <row r="27">
      <c r="A27" s="3">
        <v>1962.0</v>
      </c>
      <c r="B27" s="8"/>
      <c r="C27" s="8"/>
      <c r="G27" s="6"/>
      <c r="H27" s="6"/>
      <c r="I27" s="6"/>
      <c r="J27" s="6"/>
      <c r="K27" s="6"/>
      <c r="L27" s="6"/>
    </row>
    <row r="28">
      <c r="A28" s="3">
        <v>1963.0</v>
      </c>
      <c r="B28" s="8"/>
      <c r="C28" s="8"/>
      <c r="G28" s="6"/>
      <c r="H28" s="6"/>
      <c r="I28" s="6"/>
      <c r="J28" s="6"/>
      <c r="K28" s="6"/>
      <c r="L28" s="6"/>
    </row>
    <row r="29">
      <c r="A29" s="3">
        <v>1964.0</v>
      </c>
      <c r="B29" s="8"/>
      <c r="C29" s="8"/>
      <c r="G29" s="6"/>
      <c r="H29" s="6"/>
      <c r="I29" s="6"/>
      <c r="J29" s="6"/>
      <c r="K29" s="6"/>
      <c r="L29" s="6"/>
    </row>
    <row r="30">
      <c r="A30" s="3">
        <v>1965.0</v>
      </c>
      <c r="B30" s="8"/>
      <c r="C30" s="8"/>
      <c r="G30" s="6"/>
      <c r="H30" s="6"/>
      <c r="I30" s="6"/>
      <c r="J30" s="6"/>
      <c r="K30" s="6"/>
      <c r="L30" s="6"/>
    </row>
    <row r="31">
      <c r="A31" s="3">
        <v>1966.0</v>
      </c>
      <c r="B31" s="8"/>
      <c r="C31" s="8"/>
      <c r="G31" s="6"/>
      <c r="H31" s="6"/>
      <c r="I31" s="6"/>
      <c r="J31" s="6"/>
      <c r="K31" s="6"/>
      <c r="L31" s="6"/>
    </row>
    <row r="32">
      <c r="A32" s="3">
        <v>1967.0</v>
      </c>
      <c r="B32" s="8"/>
      <c r="C32" s="8"/>
      <c r="G32" s="6"/>
      <c r="H32" s="6"/>
      <c r="I32" s="6"/>
      <c r="J32" s="6"/>
      <c r="K32" s="6"/>
      <c r="L32" s="6"/>
    </row>
    <row r="33">
      <c r="A33" s="3">
        <v>1968.0</v>
      </c>
      <c r="B33" s="8"/>
      <c r="C33" s="8"/>
      <c r="G33" s="6"/>
      <c r="H33" s="6"/>
      <c r="I33" s="6"/>
      <c r="J33" s="6"/>
      <c r="K33" s="6"/>
      <c r="L33" s="6"/>
    </row>
    <row r="34">
      <c r="A34" s="3">
        <v>1969.0</v>
      </c>
      <c r="B34" s="8"/>
      <c r="C34" s="8"/>
      <c r="G34" s="6"/>
      <c r="H34" s="6"/>
      <c r="I34" s="6"/>
      <c r="J34" s="6"/>
      <c r="K34" s="6"/>
      <c r="L34" s="6"/>
    </row>
    <row r="35">
      <c r="A35" s="3">
        <v>1970.0</v>
      </c>
      <c r="B35" s="8"/>
      <c r="C35" s="2">
        <v>10.68</v>
      </c>
      <c r="F35" s="3" t="s">
        <v>17</v>
      </c>
      <c r="G35" s="6"/>
      <c r="H35" s="6"/>
      <c r="I35" s="6"/>
      <c r="J35" s="6"/>
      <c r="K35" s="6"/>
      <c r="L35" s="6"/>
    </row>
    <row r="36">
      <c r="A36" s="3">
        <v>1971.0</v>
      </c>
      <c r="B36" s="8"/>
      <c r="C36" s="8"/>
      <c r="G36" s="6"/>
      <c r="H36" s="6"/>
      <c r="I36" s="6"/>
      <c r="J36" s="6"/>
      <c r="K36" s="6"/>
      <c r="L36" s="6"/>
    </row>
    <row r="37">
      <c r="A37" s="3">
        <v>1972.0</v>
      </c>
      <c r="B37" s="8"/>
      <c r="C37" s="8"/>
      <c r="G37" s="6"/>
      <c r="H37" s="6"/>
      <c r="I37" s="6"/>
      <c r="J37" s="6"/>
      <c r="K37" s="6"/>
      <c r="L37" s="6"/>
    </row>
    <row r="38">
      <c r="A38" s="3">
        <v>1973.0</v>
      </c>
      <c r="B38" s="8"/>
      <c r="C38" s="8"/>
      <c r="G38" s="6"/>
      <c r="H38" s="6"/>
      <c r="I38" s="6"/>
      <c r="J38" s="6"/>
      <c r="K38" s="6"/>
      <c r="L38" s="6"/>
    </row>
    <row r="39">
      <c r="A39" s="3">
        <v>1974.0</v>
      </c>
      <c r="B39" s="8"/>
      <c r="C39" s="8"/>
      <c r="G39" s="6"/>
      <c r="H39" s="6"/>
      <c r="I39" s="6"/>
      <c r="J39" s="6"/>
      <c r="K39" s="6"/>
      <c r="L39" s="6"/>
    </row>
    <row r="40">
      <c r="A40" s="3">
        <v>1975.0</v>
      </c>
      <c r="B40" s="8"/>
      <c r="C40" s="8"/>
      <c r="G40" s="6"/>
      <c r="H40" s="6"/>
      <c r="I40" s="6"/>
      <c r="J40" s="6"/>
      <c r="K40" s="6"/>
      <c r="L40" s="6"/>
    </row>
    <row r="41">
      <c r="A41" s="3">
        <v>1976.0</v>
      </c>
      <c r="B41" s="8"/>
      <c r="C41" s="8"/>
      <c r="G41" s="6"/>
      <c r="H41" s="6"/>
      <c r="I41" s="6"/>
      <c r="J41" s="6"/>
      <c r="K41" s="6"/>
      <c r="L41" s="6"/>
    </row>
    <row r="42">
      <c r="A42" s="3">
        <v>1977.0</v>
      </c>
      <c r="B42" s="8"/>
      <c r="C42" s="8"/>
      <c r="G42" s="6"/>
      <c r="H42" s="6"/>
      <c r="I42" s="6"/>
      <c r="J42" s="6"/>
      <c r="K42" s="6"/>
      <c r="L42" s="6"/>
    </row>
    <row r="43">
      <c r="A43" s="3">
        <v>1978.0</v>
      </c>
      <c r="B43" s="8"/>
      <c r="C43" s="8"/>
      <c r="G43" s="6"/>
      <c r="H43" s="6"/>
      <c r="I43" s="6"/>
      <c r="J43" s="6"/>
      <c r="K43" s="6"/>
      <c r="L43" s="6"/>
    </row>
    <row r="44">
      <c r="A44" s="3">
        <v>1979.0</v>
      </c>
      <c r="B44" s="8"/>
      <c r="C44" s="8"/>
      <c r="G44" s="6"/>
      <c r="H44" s="6"/>
      <c r="I44" s="6"/>
      <c r="J44" s="6"/>
      <c r="K44" s="6"/>
      <c r="L44" s="4">
        <v>145786.0</v>
      </c>
      <c r="N44" s="3" t="s">
        <v>18</v>
      </c>
    </row>
    <row r="45">
      <c r="A45" s="3">
        <v>1980.0</v>
      </c>
      <c r="B45" s="2">
        <v>16.0</v>
      </c>
      <c r="C45" s="2">
        <v>18.9</v>
      </c>
      <c r="F45" s="3" t="s">
        <v>19</v>
      </c>
      <c r="G45" s="6"/>
      <c r="H45" s="6"/>
      <c r="I45" s="4">
        <v>1004500.0</v>
      </c>
      <c r="J45" s="4">
        <v>1301428.0</v>
      </c>
      <c r="K45" s="6"/>
      <c r="L45" s="4">
        <v>344200.0</v>
      </c>
      <c r="N45" s="3" t="s">
        <v>20</v>
      </c>
    </row>
    <row r="46">
      <c r="A46" s="3">
        <v>1981.0</v>
      </c>
      <c r="B46" s="2">
        <v>21.2</v>
      </c>
      <c r="C46" s="8"/>
      <c r="F46" s="3" t="s">
        <v>21</v>
      </c>
      <c r="G46" s="6"/>
      <c r="H46" s="6"/>
      <c r="I46" s="6"/>
      <c r="J46" s="4">
        <v>1416246.0</v>
      </c>
      <c r="K46" s="6"/>
      <c r="L46" s="4">
        <v>498000.0</v>
      </c>
      <c r="N46" s="3" t="s">
        <v>22</v>
      </c>
    </row>
    <row r="47">
      <c r="A47" s="3">
        <v>1982.0</v>
      </c>
      <c r="B47" s="2">
        <v>22.217985</v>
      </c>
      <c r="C47" s="8"/>
      <c r="F47" s="3" t="s">
        <v>23</v>
      </c>
      <c r="G47" s="4">
        <v>1729502.0</v>
      </c>
      <c r="H47" s="4">
        <v>6385807.0</v>
      </c>
      <c r="I47" s="4">
        <v>3789140.0</v>
      </c>
      <c r="J47" s="4">
        <v>1895914.0</v>
      </c>
      <c r="K47" s="4">
        <v>2524289.0</v>
      </c>
      <c r="L47" s="4">
        <v>675344.0</v>
      </c>
      <c r="N47" s="3" t="s">
        <v>24</v>
      </c>
    </row>
    <row r="48">
      <c r="A48" s="3">
        <v>1983.0</v>
      </c>
      <c r="B48" s="8"/>
      <c r="C48" s="8"/>
      <c r="G48" s="6"/>
      <c r="H48" s="6"/>
      <c r="I48" s="6"/>
      <c r="J48" s="6"/>
      <c r="K48" s="6"/>
      <c r="L48" s="6"/>
    </row>
    <row r="49">
      <c r="A49" s="3">
        <v>1984.0</v>
      </c>
      <c r="B49" s="8"/>
      <c r="C49" s="8"/>
      <c r="E49" s="3">
        <v>21.3</v>
      </c>
      <c r="G49" s="6"/>
      <c r="H49" s="6"/>
      <c r="I49" s="4">
        <v>954760.0</v>
      </c>
      <c r="J49" s="4">
        <v>2007696.0</v>
      </c>
      <c r="K49" s="6"/>
      <c r="L49" s="6"/>
      <c r="N49" s="3" t="s">
        <v>25</v>
      </c>
    </row>
    <row r="50">
      <c r="A50" s="3">
        <v>1985.0</v>
      </c>
      <c r="B50" s="8"/>
      <c r="C50" s="8"/>
      <c r="E50" s="3">
        <v>22.2</v>
      </c>
      <c r="G50" s="6"/>
      <c r="H50" s="6"/>
      <c r="I50" s="6"/>
      <c r="J50" s="4">
        <v>1999551.0</v>
      </c>
      <c r="K50" s="6"/>
      <c r="L50" s="4">
        <v>431900.0</v>
      </c>
      <c r="N50" s="3" t="s">
        <v>26</v>
      </c>
    </row>
    <row r="51">
      <c r="A51" s="3">
        <v>1986.0</v>
      </c>
      <c r="B51" s="2">
        <v>23.0</v>
      </c>
      <c r="C51" s="2">
        <v>16.5</v>
      </c>
      <c r="D51" s="3"/>
      <c r="F51" s="3" t="s">
        <v>27</v>
      </c>
      <c r="G51" s="6"/>
      <c r="H51" s="6"/>
      <c r="I51" s="6"/>
      <c r="J51" s="4">
        <v>2330900.0</v>
      </c>
      <c r="K51" s="6"/>
      <c r="L51" s="6"/>
      <c r="N51" s="3" t="s">
        <v>28</v>
      </c>
    </row>
    <row r="52">
      <c r="A52" s="3">
        <v>1987.0</v>
      </c>
      <c r="B52" s="2">
        <v>29.8</v>
      </c>
      <c r="C52" s="2">
        <v>27.0</v>
      </c>
      <c r="F52" s="3" t="s">
        <v>29</v>
      </c>
      <c r="G52" s="4">
        <v>1700000.0</v>
      </c>
      <c r="H52" s="6"/>
      <c r="I52" s="4">
        <v>6300000.0</v>
      </c>
      <c r="J52" s="4">
        <v>2746751.0</v>
      </c>
      <c r="K52" s="6"/>
      <c r="L52" s="6"/>
      <c r="N52" s="3" t="s">
        <v>30</v>
      </c>
    </row>
    <row r="53">
      <c r="A53" s="3">
        <v>1988.0</v>
      </c>
      <c r="B53" s="2">
        <v>32.0</v>
      </c>
      <c r="E53" s="3">
        <v>25.4</v>
      </c>
      <c r="F53" s="3" t="s">
        <v>31</v>
      </c>
      <c r="G53" s="6"/>
      <c r="H53" s="6"/>
      <c r="I53" s="6"/>
      <c r="J53" s="4">
        <v>1653090.0</v>
      </c>
      <c r="K53" s="6"/>
      <c r="L53" s="4">
        <v>1500000.0</v>
      </c>
      <c r="N53" s="3" t="s">
        <v>32</v>
      </c>
    </row>
    <row r="54">
      <c r="A54" s="3">
        <v>1989.0</v>
      </c>
      <c r="B54" s="8"/>
      <c r="C54" s="8"/>
      <c r="G54" s="6"/>
      <c r="H54" s="6"/>
      <c r="I54" s="6"/>
      <c r="J54" s="6"/>
      <c r="K54" s="5">
        <v>5000000.0</v>
      </c>
      <c r="L54" s="5">
        <v>1090000.0</v>
      </c>
      <c r="N54" s="3" t="s">
        <v>33</v>
      </c>
    </row>
    <row r="55">
      <c r="A55" s="3">
        <v>1990.0</v>
      </c>
      <c r="B55" s="8"/>
      <c r="C55" s="2">
        <v>45.6</v>
      </c>
      <c r="F55" s="3" t="s">
        <v>17</v>
      </c>
      <c r="G55" s="4">
        <f>1300000+1512000</f>
        <v>2812000</v>
      </c>
      <c r="H55" s="6"/>
      <c r="I55" s="6"/>
      <c r="J55" s="4">
        <v>2666920.0</v>
      </c>
      <c r="K55" s="6"/>
      <c r="L55" s="5">
        <v>874000.0</v>
      </c>
      <c r="N55" s="3" t="s">
        <v>34</v>
      </c>
    </row>
    <row r="56">
      <c r="A56" s="3">
        <v>1991.0</v>
      </c>
      <c r="B56" s="2">
        <v>50.0</v>
      </c>
      <c r="C56" s="2">
        <v>64.091421</v>
      </c>
      <c r="D56" s="3"/>
      <c r="E56" s="3">
        <v>34.8</v>
      </c>
      <c r="F56" s="3" t="s">
        <v>35</v>
      </c>
      <c r="G56" s="4">
        <v>1009400.0</v>
      </c>
      <c r="H56" s="4">
        <v>1.32E7</v>
      </c>
      <c r="I56" s="5">
        <v>7400000.0</v>
      </c>
      <c r="J56" s="6"/>
      <c r="K56" s="6"/>
      <c r="L56" s="6"/>
      <c r="N56" s="3" t="s">
        <v>36</v>
      </c>
    </row>
    <row r="57">
      <c r="A57" s="3">
        <v>1992.0</v>
      </c>
      <c r="B57" s="8"/>
      <c r="C57" s="2">
        <v>100.325436</v>
      </c>
      <c r="G57" s="4">
        <v>1156000.0</v>
      </c>
      <c r="H57" s="6"/>
      <c r="I57" s="6"/>
      <c r="J57" s="6"/>
      <c r="K57" s="6"/>
      <c r="L57" s="5">
        <v>1600000.0</v>
      </c>
      <c r="N57" s="3" t="s">
        <v>37</v>
      </c>
    </row>
    <row r="58">
      <c r="A58" s="3">
        <v>1993.0</v>
      </c>
      <c r="B58" s="2">
        <v>46.0</v>
      </c>
      <c r="C58" s="2">
        <v>135.394674</v>
      </c>
      <c r="D58" s="3"/>
      <c r="F58" s="3" t="s">
        <v>38</v>
      </c>
      <c r="G58" s="6"/>
      <c r="H58" s="6"/>
      <c r="I58" s="6"/>
      <c r="J58" s="5">
        <v>4000000.0</v>
      </c>
      <c r="K58" s="5">
        <v>7500000.0</v>
      </c>
      <c r="L58" s="5">
        <v>1676701.0</v>
      </c>
      <c r="N58" s="3" t="s">
        <v>39</v>
      </c>
    </row>
    <row r="59">
      <c r="A59" s="3">
        <v>1994.0</v>
      </c>
      <c r="B59" s="8"/>
      <c r="C59" s="2">
        <v>176.370119</v>
      </c>
      <c r="D59" s="3"/>
      <c r="F59" s="3" t="s">
        <v>40</v>
      </c>
      <c r="G59" s="6"/>
      <c r="H59" s="6"/>
      <c r="I59" s="6"/>
      <c r="J59" s="6"/>
      <c r="K59" s="6"/>
      <c r="L59" s="6"/>
    </row>
    <row r="60">
      <c r="A60" s="3">
        <v>1995.0</v>
      </c>
      <c r="B60" s="2">
        <v>60.0</v>
      </c>
      <c r="C60" s="2">
        <v>212.770542</v>
      </c>
      <c r="D60" s="3"/>
      <c r="F60" s="3" t="s">
        <v>41</v>
      </c>
      <c r="G60" s="4">
        <v>5900000.0</v>
      </c>
      <c r="H60" s="4">
        <v>2.3E7</v>
      </c>
      <c r="I60" s="4">
        <v>1.13E7</v>
      </c>
      <c r="J60" s="4">
        <v>6600000.0</v>
      </c>
      <c r="K60" s="4">
        <v>1.02E7</v>
      </c>
      <c r="L60" s="4">
        <v>2500000.0</v>
      </c>
      <c r="N60" s="3" t="s">
        <v>42</v>
      </c>
    </row>
    <row r="61">
      <c r="A61" s="3">
        <v>1996.0</v>
      </c>
      <c r="B61" s="2">
        <v>69.0</v>
      </c>
      <c r="C61" s="2">
        <v>227.604975</v>
      </c>
      <c r="D61" s="3"/>
      <c r="F61" s="3" t="s">
        <v>43</v>
      </c>
      <c r="G61" s="5">
        <v>4200000.0</v>
      </c>
      <c r="H61" s="5">
        <v>2.68E7</v>
      </c>
      <c r="I61" s="5">
        <v>9700000.0</v>
      </c>
      <c r="J61" s="5">
        <v>5700000.0</v>
      </c>
      <c r="K61" s="5">
        <v>8000000.0</v>
      </c>
      <c r="L61" s="5">
        <v>2200000.0</v>
      </c>
      <c r="N61" s="3" t="s">
        <v>44</v>
      </c>
    </row>
    <row r="62">
      <c r="A62" s="3">
        <v>1997.0</v>
      </c>
      <c r="B62" s="2">
        <v>79.8</v>
      </c>
      <c r="C62" s="2">
        <v>239.596653</v>
      </c>
      <c r="D62" s="3"/>
      <c r="F62" s="3" t="s">
        <v>45</v>
      </c>
      <c r="G62" s="4">
        <v>7800000.0</v>
      </c>
      <c r="H62" s="4">
        <v>2.95E7</v>
      </c>
      <c r="I62" s="6"/>
      <c r="J62" s="4">
        <v>1.38E7</v>
      </c>
      <c r="K62" s="6"/>
      <c r="L62" s="4">
        <v>3200000.0</v>
      </c>
      <c r="N62" s="3" t="s">
        <v>46</v>
      </c>
    </row>
    <row r="63">
      <c r="A63" s="3">
        <v>1998.0</v>
      </c>
      <c r="B63" s="2">
        <v>84.0</v>
      </c>
      <c r="C63" s="2">
        <v>249.877608</v>
      </c>
      <c r="D63" s="3"/>
      <c r="F63" s="3" t="s">
        <v>47</v>
      </c>
      <c r="G63" s="4">
        <v>8000000.0</v>
      </c>
      <c r="H63" s="4">
        <v>3.14E7</v>
      </c>
      <c r="I63" s="4">
        <v>1.44E7</v>
      </c>
      <c r="J63" s="4">
        <v>8000000.0</v>
      </c>
      <c r="K63" s="4">
        <v>1.4E7</v>
      </c>
      <c r="L63" s="5">
        <v>3466950.0</v>
      </c>
      <c r="N63" s="3" t="s">
        <v>48</v>
      </c>
    </row>
    <row r="64">
      <c r="A64" s="3">
        <v>1999.0</v>
      </c>
      <c r="B64" s="2">
        <v>100.604042</v>
      </c>
      <c r="C64" s="2">
        <v>276.500957</v>
      </c>
      <c r="D64" s="3"/>
      <c r="F64" s="3" t="s">
        <v>49</v>
      </c>
      <c r="G64" s="6"/>
      <c r="H64" s="6"/>
      <c r="I64" s="6"/>
      <c r="J64" s="6"/>
      <c r="K64" s="6"/>
      <c r="L64" s="5">
        <v>4189042.0</v>
      </c>
      <c r="N64" s="3" t="s">
        <v>50</v>
      </c>
    </row>
    <row r="65">
      <c r="A65" s="3">
        <v>2000.0</v>
      </c>
      <c r="B65" s="2">
        <v>111.0</v>
      </c>
      <c r="C65" s="2">
        <v>323.373595</v>
      </c>
      <c r="D65" s="3"/>
      <c r="F65" s="3" t="s">
        <v>41</v>
      </c>
      <c r="G65" s="6"/>
      <c r="H65" s="6"/>
      <c r="I65" s="6"/>
      <c r="J65" s="6"/>
      <c r="K65" s="6"/>
      <c r="L65" s="6"/>
    </row>
    <row r="66">
      <c r="A66" s="3">
        <v>2001.0</v>
      </c>
      <c r="B66" s="2">
        <v>135.0</v>
      </c>
      <c r="C66" s="2">
        <v>380.832455</v>
      </c>
      <c r="D66" s="3"/>
      <c r="F66" s="3" t="s">
        <v>51</v>
      </c>
      <c r="G66" s="6"/>
      <c r="H66" s="6"/>
      <c r="I66" s="6"/>
      <c r="J66" s="6"/>
      <c r="K66" s="6"/>
      <c r="L66" s="6"/>
    </row>
    <row r="67">
      <c r="A67" s="3">
        <v>2002.0</v>
      </c>
      <c r="B67" s="2">
        <v>143.5</v>
      </c>
      <c r="C67" s="2">
        <v>1300.0</v>
      </c>
      <c r="D67" s="3"/>
      <c r="E67" s="3">
        <v>136.4</v>
      </c>
      <c r="F67" s="3" t="s">
        <v>52</v>
      </c>
      <c r="G67" s="6"/>
      <c r="H67" s="6"/>
      <c r="I67" s="6"/>
      <c r="J67" s="6"/>
      <c r="K67" s="5">
        <v>2.4190588E7</v>
      </c>
      <c r="L67" s="6"/>
      <c r="N67" s="3" t="s">
        <v>53</v>
      </c>
    </row>
    <row r="68">
      <c r="A68" s="3">
        <v>2003.0</v>
      </c>
      <c r="B68" s="2">
        <v>175.0</v>
      </c>
      <c r="C68" s="2">
        <v>1255.789544</v>
      </c>
      <c r="D68" s="3"/>
      <c r="F68" s="3" t="s">
        <v>54</v>
      </c>
      <c r="G68" s="6"/>
      <c r="H68" s="6"/>
      <c r="I68" s="6"/>
      <c r="J68" s="6"/>
      <c r="L68" s="6"/>
      <c r="N68" s="3"/>
    </row>
    <row r="69">
      <c r="A69" s="3">
        <v>2004.0</v>
      </c>
      <c r="B69" s="9">
        <v>172.0</v>
      </c>
      <c r="C69" s="2">
        <v>1320.299583</v>
      </c>
      <c r="D69" s="3"/>
      <c r="F69" s="3" t="s">
        <v>55</v>
      </c>
      <c r="G69" s="6"/>
      <c r="H69" s="6"/>
      <c r="I69" s="6"/>
      <c r="J69" s="6"/>
      <c r="K69" s="6"/>
      <c r="L69" s="6"/>
    </row>
    <row r="70">
      <c r="A70" s="3">
        <v>2005.0</v>
      </c>
      <c r="B70" s="9">
        <v>178.4</v>
      </c>
      <c r="C70" s="2">
        <v>1329.624992</v>
      </c>
      <c r="D70" s="3"/>
      <c r="F70" s="3" t="s">
        <v>55</v>
      </c>
      <c r="G70" s="6"/>
      <c r="H70" s="6"/>
      <c r="I70" s="6"/>
      <c r="J70" s="6"/>
      <c r="K70" s="6"/>
      <c r="L70" s="6"/>
    </row>
    <row r="71">
      <c r="A71" s="3">
        <v>2006.0</v>
      </c>
      <c r="B71" s="9">
        <v>188.5</v>
      </c>
      <c r="C71" s="2">
        <v>1292.735279</v>
      </c>
      <c r="D71" s="3"/>
      <c r="F71" s="3" t="s">
        <v>55</v>
      </c>
      <c r="G71" s="6"/>
      <c r="H71" s="6"/>
      <c r="I71" s="6"/>
      <c r="J71" s="6"/>
      <c r="K71" s="6"/>
      <c r="L71" s="6"/>
    </row>
    <row r="72">
      <c r="A72" s="3">
        <v>2007.0</v>
      </c>
      <c r="B72" s="9">
        <v>174.2</v>
      </c>
      <c r="C72" s="2">
        <v>1319.356868</v>
      </c>
      <c r="D72" s="3"/>
      <c r="F72" s="3" t="s">
        <v>55</v>
      </c>
      <c r="G72" s="6"/>
      <c r="H72" s="6"/>
      <c r="I72" s="6"/>
      <c r="J72" s="6"/>
      <c r="K72" s="6"/>
      <c r="L72" s="6"/>
    </row>
    <row r="73">
      <c r="A73" s="3">
        <v>2008.0</v>
      </c>
      <c r="B73" s="9">
        <v>183.2</v>
      </c>
      <c r="C73" s="2">
        <v>1410.665692</v>
      </c>
      <c r="D73" s="3"/>
      <c r="F73" s="3" t="s">
        <v>55</v>
      </c>
      <c r="G73" s="6"/>
      <c r="H73" s="6"/>
      <c r="I73" s="6"/>
      <c r="J73" s="6"/>
      <c r="K73" s="6"/>
      <c r="L73" s="6"/>
    </row>
    <row r="74">
      <c r="A74" s="3">
        <v>2009.0</v>
      </c>
      <c r="B74" s="9">
        <v>190.7</v>
      </c>
      <c r="C74" s="2">
        <v>1403.306114</v>
      </c>
      <c r="D74" s="3"/>
      <c r="F74" s="3" t="s">
        <v>55</v>
      </c>
      <c r="G74" s="6"/>
      <c r="H74" s="6"/>
      <c r="I74" s="6"/>
      <c r="J74" s="6"/>
      <c r="K74" s="6"/>
      <c r="L74" s="6"/>
    </row>
    <row r="75">
      <c r="A75" s="3">
        <v>2010.0</v>
      </c>
      <c r="B75" s="9">
        <v>198.7</v>
      </c>
      <c r="C75" s="2">
        <v>1599.01784</v>
      </c>
      <c r="D75" s="2">
        <v>357.917553</v>
      </c>
      <c r="F75" s="3" t="s">
        <v>56</v>
      </c>
      <c r="G75" s="6"/>
      <c r="H75" s="6"/>
      <c r="I75" s="6"/>
      <c r="J75" s="6"/>
      <c r="K75" s="6"/>
      <c r="L75" s="6"/>
    </row>
    <row r="76">
      <c r="A76" s="3">
        <v>2011.0</v>
      </c>
      <c r="B76" s="9">
        <v>203.3</v>
      </c>
      <c r="C76" s="2">
        <v>1620.994628</v>
      </c>
      <c r="D76" s="2">
        <v>370.252638</v>
      </c>
      <c r="F76" s="3" t="s">
        <v>56</v>
      </c>
      <c r="G76" s="6"/>
      <c r="H76" s="6"/>
      <c r="I76" s="6"/>
      <c r="J76" s="6"/>
      <c r="K76" s="6"/>
      <c r="L76" s="6"/>
    </row>
    <row r="77">
      <c r="A77" s="3">
        <v>2012.0</v>
      </c>
      <c r="B77" s="9">
        <v>203.0</v>
      </c>
      <c r="C77" s="2">
        <v>1581.561294</v>
      </c>
      <c r="D77" s="2">
        <v>367.024801</v>
      </c>
      <c r="F77" s="3" t="s">
        <v>56</v>
      </c>
      <c r="G77" s="6"/>
      <c r="H77" s="6"/>
      <c r="I77" s="6"/>
      <c r="J77" s="6"/>
      <c r="K77" s="6"/>
      <c r="L77" s="6"/>
    </row>
    <row r="78">
      <c r="A78" s="3">
        <v>2013.0</v>
      </c>
      <c r="B78" s="9">
        <v>206.0</v>
      </c>
      <c r="C78" s="2">
        <v>1612.655588</v>
      </c>
      <c r="D78" s="2">
        <v>377.735249</v>
      </c>
      <c r="F78" s="3" t="s">
        <v>56</v>
      </c>
      <c r="G78" s="10">
        <f>'Détail'!F2</f>
        <v>16904793</v>
      </c>
      <c r="H78" s="10">
        <f>'Détail'!D2</f>
        <v>33217743</v>
      </c>
      <c r="I78" s="10">
        <f>'Détail'!L2</f>
        <v>22938216</v>
      </c>
      <c r="J78" s="10">
        <f>'Détail'!J2</f>
        <v>13286650</v>
      </c>
      <c r="K78" s="10">
        <f>'Détail'!H2</f>
        <v>23832371</v>
      </c>
      <c r="L78" s="10">
        <f>'Détail'!N2</f>
        <v>5900967</v>
      </c>
      <c r="N78" s="3" t="s">
        <v>55</v>
      </c>
    </row>
    <row r="79">
      <c r="A79" s="3">
        <v>2014.0</v>
      </c>
      <c r="B79" s="9">
        <v>209.9</v>
      </c>
      <c r="C79" s="2">
        <v>1610.11295</v>
      </c>
      <c r="D79" s="2">
        <v>387.641962</v>
      </c>
      <c r="F79" s="3" t="s">
        <v>56</v>
      </c>
      <c r="G79" s="10">
        <v>1.467224E7</v>
      </c>
      <c r="H79" s="10">
        <f>'Détail'!D11</f>
        <v>36880059</v>
      </c>
      <c r="I79" s="10">
        <v>2.5764723E7</v>
      </c>
      <c r="J79" s="10">
        <v>1.35498E7</v>
      </c>
      <c r="K79" s="10">
        <f>'Détail'!H11</f>
        <v>26149635</v>
      </c>
      <c r="L79" s="10">
        <f>'Détail'!N11</f>
        <v>5355635</v>
      </c>
      <c r="M79" s="10"/>
      <c r="N79" s="3" t="s">
        <v>55</v>
      </c>
      <c r="O79" s="10"/>
    </row>
    <row r="80">
      <c r="A80" s="3">
        <v>2015.0</v>
      </c>
      <c r="B80" s="9">
        <v>209.5</v>
      </c>
      <c r="C80" s="2">
        <v>1586.535197</v>
      </c>
      <c r="D80" s="2">
        <v>398.339036</v>
      </c>
      <c r="F80" s="3" t="s">
        <v>56</v>
      </c>
      <c r="G80" s="10">
        <v>1.4478414E7</v>
      </c>
      <c r="H80" s="10">
        <f>'Détail'!D20</f>
        <v>34153502</v>
      </c>
      <c r="I80" s="10">
        <v>3.22855E7</v>
      </c>
      <c r="J80" s="10">
        <v>1.29545E7</v>
      </c>
      <c r="K80" s="10">
        <f>'Détail'!H20</f>
        <v>23251870</v>
      </c>
      <c r="L80" s="10">
        <f>'Détail'!N20</f>
        <v>5140195</v>
      </c>
      <c r="M80" s="10"/>
      <c r="N80" s="3" t="s">
        <v>55</v>
      </c>
      <c r="O80" s="10"/>
    </row>
    <row r="81">
      <c r="A81" s="3">
        <v>2016.0</v>
      </c>
      <c r="B81" s="9">
        <v>216.8</v>
      </c>
      <c r="C81" s="2">
        <v>1642.256009</v>
      </c>
      <c r="D81" s="2">
        <v>398.339036</v>
      </c>
      <c r="F81" s="3" t="s">
        <v>56</v>
      </c>
      <c r="G81" s="10">
        <v>1.7316651E7</v>
      </c>
      <c r="H81" s="10">
        <f>'Détail'!D29</f>
        <v>34846396</v>
      </c>
      <c r="I81" s="10">
        <v>2.857921E7</v>
      </c>
      <c r="J81" s="10">
        <v>1.330231E7</v>
      </c>
      <c r="K81" s="10">
        <f>'Détail'!H29</f>
        <v>25143905</v>
      </c>
      <c r="L81" s="10">
        <f>'Détail'!N29</f>
        <v>5767420</v>
      </c>
      <c r="M81" s="10"/>
      <c r="N81" s="3" t="s">
        <v>55</v>
      </c>
      <c r="O81" s="10"/>
    </row>
    <row r="82">
      <c r="A82" s="3">
        <v>2017.0</v>
      </c>
      <c r="B82" s="9">
        <v>216.2</v>
      </c>
      <c r="C82" s="2">
        <v>1570.773944</v>
      </c>
      <c r="D82" s="2">
        <v>386.48653</v>
      </c>
      <c r="F82" s="3" t="s">
        <v>56</v>
      </c>
      <c r="G82" s="10">
        <v>1.7156388E7</v>
      </c>
      <c r="H82" s="10">
        <f>'Détail'!D38</f>
        <v>40437100</v>
      </c>
      <c r="I82" s="10">
        <v>3.2102825E7</v>
      </c>
      <c r="J82" s="10">
        <v>1.436055E7</v>
      </c>
      <c r="K82" s="10">
        <f>'Détail'!H38</f>
        <v>27088102</v>
      </c>
      <c r="L82" s="10">
        <f>'Détail'!N38</f>
        <v>6639316</v>
      </c>
      <c r="M82" s="10"/>
      <c r="N82" s="3" t="s">
        <v>55</v>
      </c>
      <c r="O82" s="10"/>
    </row>
    <row r="83">
      <c r="A83" s="3">
        <v>2018.0</v>
      </c>
      <c r="B83" s="9">
        <v>216.4</v>
      </c>
      <c r="C83" s="2">
        <v>1576.433144</v>
      </c>
      <c r="D83" s="2">
        <v>387.962511</v>
      </c>
      <c r="F83" s="3" t="s">
        <v>56</v>
      </c>
      <c r="G83" s="10">
        <v>1.9944842E7</v>
      </c>
      <c r="H83" s="10">
        <f>'Détail'!D47</f>
        <v>38632360</v>
      </c>
      <c r="I83" s="10">
        <v>4.0630366E7</v>
      </c>
      <c r="J83" s="10">
        <v>1.57702E7</v>
      </c>
      <c r="K83" s="10">
        <f>'Détail'!H47</f>
        <v>33255111</v>
      </c>
      <c r="L83" s="10">
        <f>'Détail'!N47</f>
        <v>5759651</v>
      </c>
      <c r="M83" s="10"/>
      <c r="N83" s="3" t="s">
        <v>55</v>
      </c>
      <c r="O83" s="10"/>
    </row>
    <row r="84">
      <c r="A84" s="3">
        <v>2019.0</v>
      </c>
      <c r="B84" s="9">
        <v>224.3</v>
      </c>
      <c r="C84" s="2"/>
      <c r="D84" s="3"/>
      <c r="F84" s="3" t="s">
        <v>55</v>
      </c>
      <c r="G84" s="10">
        <v>1.9802308E7</v>
      </c>
      <c r="H84" s="10">
        <f>'Détail'!D56</f>
        <v>41258170</v>
      </c>
      <c r="I84" s="10">
        <v>2.709216E7</v>
      </c>
      <c r="J84" s="10">
        <v>1.402395E7</v>
      </c>
      <c r="K84" s="10">
        <f>'Détail'!H56</f>
        <v>30277691</v>
      </c>
      <c r="L84" s="10">
        <f>'Détail'!N56</f>
        <v>5742465</v>
      </c>
      <c r="M84" s="10"/>
      <c r="N84" s="3" t="s">
        <v>55</v>
      </c>
      <c r="O84" s="10"/>
    </row>
    <row r="85">
      <c r="A85" s="3">
        <v>2020.0</v>
      </c>
      <c r="B85" s="9">
        <v>224.7</v>
      </c>
      <c r="C85" s="2"/>
      <c r="D85" s="3"/>
      <c r="F85" s="3" t="s">
        <v>55</v>
      </c>
      <c r="G85" s="10">
        <v>1.915219E7</v>
      </c>
      <c r="H85" s="10">
        <f>'Détail'!D65</f>
        <v>38139600</v>
      </c>
      <c r="I85" s="10">
        <v>3.11553E7</v>
      </c>
      <c r="J85" s="10">
        <v>1.284535E7</v>
      </c>
      <c r="K85" s="10">
        <f>'Détail'!H65</f>
        <v>20402610</v>
      </c>
      <c r="L85" s="10">
        <f>'Détail'!N65</f>
        <v>5660787</v>
      </c>
      <c r="M85" s="10"/>
      <c r="N85" s="3" t="s">
        <v>55</v>
      </c>
      <c r="O85" s="10"/>
    </row>
    <row r="86">
      <c r="A86" s="3">
        <v>2021.0</v>
      </c>
      <c r="B86" s="9">
        <v>235.0</v>
      </c>
      <c r="C86" s="2"/>
      <c r="D86" s="3"/>
      <c r="F86" s="3" t="s">
        <v>55</v>
      </c>
      <c r="G86" s="10">
        <v>2.0134371E7</v>
      </c>
      <c r="H86" s="10">
        <f>'Détail'!D74</f>
        <v>31055090</v>
      </c>
      <c r="I86" s="10">
        <v>3.5737415E7</v>
      </c>
      <c r="J86" s="10">
        <v>1.021345E7</v>
      </c>
      <c r="K86" s="10">
        <f>'Détail'!H74</f>
        <v>31858269</v>
      </c>
      <c r="L86" s="10">
        <f>'Détail'!N74</f>
        <v>4126790</v>
      </c>
      <c r="M86" s="10"/>
      <c r="N86" s="3" t="s">
        <v>55</v>
      </c>
      <c r="O86" s="10"/>
    </row>
    <row r="87">
      <c r="A87" s="3">
        <v>2022.0</v>
      </c>
      <c r="B87" s="9">
        <v>243.4</v>
      </c>
      <c r="C87" s="2"/>
      <c r="D87" s="3"/>
      <c r="F87" s="3" t="s">
        <v>55</v>
      </c>
      <c r="G87" s="10">
        <v>2.2557977E7</v>
      </c>
      <c r="H87" s="10">
        <f>'Détail'!D83</f>
        <v>32104500</v>
      </c>
      <c r="I87" s="10">
        <v>3.5208336E7</v>
      </c>
      <c r="J87" s="10">
        <v>1.16503E7</v>
      </c>
      <c r="K87" s="10">
        <f>'Détail'!H83</f>
        <v>30190866</v>
      </c>
      <c r="L87" s="10">
        <f>'Détail'!N83</f>
        <v>4157250</v>
      </c>
      <c r="M87" s="10"/>
      <c r="N87" s="3" t="s">
        <v>55</v>
      </c>
      <c r="O87" s="10"/>
    </row>
    <row r="88">
      <c r="A88" s="3">
        <v>2023.0</v>
      </c>
      <c r="B88" s="9">
        <v>243.7</v>
      </c>
      <c r="C88" s="2"/>
      <c r="D88" s="3"/>
      <c r="F88" s="3" t="s">
        <v>55</v>
      </c>
      <c r="G88" s="10">
        <v>2.7037002E7</v>
      </c>
      <c r="H88" s="10">
        <f>'Détail'!D92</f>
        <v>62644138</v>
      </c>
      <c r="I88" s="10">
        <v>5.3014828E7</v>
      </c>
      <c r="J88" s="10">
        <v>1.6838496E7</v>
      </c>
      <c r="K88" s="10">
        <f>'Détail'!H92</f>
        <v>34858894</v>
      </c>
      <c r="L88" s="10">
        <f>'Détail'!N92</f>
        <v>7174672</v>
      </c>
      <c r="M88" s="10"/>
      <c r="N88" s="3" t="s">
        <v>55</v>
      </c>
      <c r="O88" s="10"/>
    </row>
    <row r="89">
      <c r="A89" s="3">
        <v>2024.0</v>
      </c>
      <c r="B89" s="9">
        <v>258.23616</v>
      </c>
      <c r="C89" s="2"/>
      <c r="D89" s="3"/>
      <c r="F89" s="3" t="s">
        <v>55</v>
      </c>
      <c r="G89" s="10">
        <v>2.9232206E7</v>
      </c>
      <c r="H89" s="10">
        <f>'Détail'!D101</f>
        <v>63649163</v>
      </c>
      <c r="I89" s="10">
        <v>4.6560474E7</v>
      </c>
      <c r="J89" s="10">
        <v>1.683352E7</v>
      </c>
      <c r="K89" s="10">
        <f>'Détail'!H101</f>
        <v>36909515</v>
      </c>
      <c r="L89" s="10">
        <f>'Détail'!N101</f>
        <v>7589795</v>
      </c>
      <c r="M89" s="10"/>
      <c r="N89" s="3" t="s">
        <v>55</v>
      </c>
      <c r="O89" s="10"/>
    </row>
    <row r="90">
      <c r="A90" s="3">
        <v>2025.0</v>
      </c>
      <c r="B90" s="9">
        <v>252.005294</v>
      </c>
      <c r="C90" s="2"/>
      <c r="D90" s="3"/>
      <c r="F90" s="3" t="s">
        <v>55</v>
      </c>
      <c r="G90" s="10">
        <v>2.847151E7</v>
      </c>
      <c r="H90" s="10">
        <f>'Détail'!D110</f>
        <v>79706647</v>
      </c>
      <c r="I90" s="10">
        <v>4.4562014E7</v>
      </c>
      <c r="J90" s="10">
        <v>1.552912E7</v>
      </c>
      <c r="K90" s="10">
        <f>'Détail'!H110</f>
        <v>41354730</v>
      </c>
      <c r="L90" s="10">
        <f>'Détail'!N110</f>
        <v>8711666</v>
      </c>
      <c r="M90" s="10"/>
      <c r="N90" s="3" t="s">
        <v>55</v>
      </c>
      <c r="O90" s="10"/>
    </row>
    <row r="91">
      <c r="B91" s="8"/>
      <c r="C91" s="8"/>
      <c r="G91" s="6"/>
      <c r="H91" s="6"/>
      <c r="I91" s="6"/>
      <c r="J91" s="6"/>
      <c r="K91" s="6"/>
      <c r="L91" s="6"/>
    </row>
    <row r="92">
      <c r="B92" s="8"/>
      <c r="C92" s="8"/>
      <c r="G92" s="6"/>
      <c r="H92" s="6"/>
      <c r="I92" s="6"/>
      <c r="J92" s="6"/>
      <c r="K92" s="6"/>
      <c r="L92" s="6"/>
    </row>
    <row r="93">
      <c r="B93" s="8"/>
      <c r="C93" s="8"/>
      <c r="G93" s="6"/>
      <c r="H93" s="6"/>
      <c r="I93" s="6"/>
      <c r="J93" s="6"/>
      <c r="K93" s="6"/>
      <c r="L93" s="6"/>
    </row>
    <row r="94">
      <c r="B94" s="8"/>
      <c r="C94" s="8"/>
      <c r="G94" s="6"/>
      <c r="H94" s="6"/>
      <c r="I94" s="6"/>
      <c r="J94" s="6"/>
      <c r="K94" s="6"/>
      <c r="L94" s="6"/>
    </row>
    <row r="95">
      <c r="B95" s="8"/>
      <c r="C95" s="8"/>
      <c r="G95" s="6"/>
      <c r="H95" s="6"/>
      <c r="I95" s="6"/>
      <c r="J95" s="6"/>
      <c r="K95" s="6"/>
      <c r="L95" s="6"/>
    </row>
    <row r="96">
      <c r="B96" s="8"/>
      <c r="C96" s="8"/>
      <c r="G96" s="6"/>
      <c r="H96" s="6"/>
      <c r="I96" s="6"/>
      <c r="J96" s="6"/>
      <c r="K96" s="6"/>
      <c r="L96" s="6"/>
    </row>
    <row r="97">
      <c r="B97" s="8"/>
      <c r="C97" s="8"/>
      <c r="G97" s="6"/>
      <c r="H97" s="6"/>
      <c r="I97" s="6"/>
      <c r="J97" s="6"/>
      <c r="K97" s="6"/>
      <c r="L97" s="6"/>
    </row>
    <row r="98">
      <c r="B98" s="8"/>
      <c r="C98" s="8"/>
      <c r="G98" s="6"/>
      <c r="H98" s="6"/>
      <c r="I98" s="6"/>
      <c r="J98" s="6"/>
      <c r="K98" s="6"/>
      <c r="L98" s="6"/>
    </row>
    <row r="99">
      <c r="B99" s="8"/>
      <c r="C99" s="8"/>
      <c r="G99" s="6"/>
      <c r="H99" s="6"/>
      <c r="I99" s="6"/>
      <c r="J99" s="6"/>
      <c r="K99" s="6"/>
      <c r="L99" s="6"/>
    </row>
    <row r="100">
      <c r="B100" s="8"/>
      <c r="C100" s="8"/>
      <c r="G100" s="6"/>
      <c r="H100" s="6"/>
      <c r="I100" s="6"/>
      <c r="J100" s="6"/>
      <c r="K100" s="6"/>
      <c r="L100" s="6"/>
    </row>
    <row r="101">
      <c r="B101" s="8"/>
      <c r="C101" s="8"/>
      <c r="G101" s="6"/>
      <c r="H101" s="6"/>
      <c r="I101" s="6"/>
      <c r="J101" s="6"/>
      <c r="K101" s="6"/>
      <c r="L101" s="6"/>
    </row>
    <row r="102">
      <c r="B102" s="8"/>
      <c r="C102" s="8"/>
      <c r="G102" s="6"/>
      <c r="H102" s="6"/>
      <c r="I102" s="6"/>
      <c r="J102" s="6"/>
      <c r="K102" s="6"/>
      <c r="L102" s="6"/>
    </row>
    <row r="103">
      <c r="B103" s="8"/>
      <c r="C103" s="8"/>
      <c r="G103" s="6"/>
      <c r="H103" s="6"/>
      <c r="I103" s="6"/>
      <c r="J103" s="6"/>
      <c r="K103" s="6"/>
      <c r="L103" s="6"/>
    </row>
    <row r="104">
      <c r="B104" s="8"/>
      <c r="C104" s="8"/>
      <c r="G104" s="6"/>
      <c r="H104" s="6"/>
      <c r="I104" s="6"/>
      <c r="J104" s="6"/>
      <c r="K104" s="6"/>
      <c r="L104" s="6"/>
    </row>
    <row r="105">
      <c r="B105" s="8"/>
      <c r="C105" s="8"/>
      <c r="G105" s="6"/>
      <c r="H105" s="6"/>
      <c r="I105" s="6"/>
      <c r="J105" s="6"/>
      <c r="K105" s="6"/>
      <c r="L105" s="6"/>
    </row>
    <row r="106">
      <c r="B106" s="8"/>
      <c r="C106" s="8"/>
      <c r="G106" s="6"/>
      <c r="H106" s="6"/>
      <c r="I106" s="6"/>
      <c r="J106" s="6"/>
      <c r="K106" s="6"/>
      <c r="L106" s="6"/>
    </row>
    <row r="107">
      <c r="B107" s="8"/>
      <c r="C107" s="8"/>
      <c r="G107" s="6"/>
      <c r="H107" s="6"/>
      <c r="I107" s="6"/>
      <c r="J107" s="6"/>
      <c r="K107" s="6"/>
      <c r="L107" s="6"/>
    </row>
    <row r="108">
      <c r="B108" s="8"/>
      <c r="C108" s="8"/>
      <c r="G108" s="6"/>
      <c r="H108" s="6"/>
      <c r="I108" s="6"/>
      <c r="J108" s="6"/>
      <c r="K108" s="6"/>
      <c r="L108" s="6"/>
    </row>
    <row r="109">
      <c r="B109" s="8"/>
      <c r="C109" s="8"/>
      <c r="G109" s="6"/>
      <c r="H109" s="6"/>
      <c r="I109" s="6"/>
      <c r="J109" s="6"/>
      <c r="K109" s="6"/>
      <c r="L109" s="6"/>
    </row>
    <row r="110">
      <c r="B110" s="8"/>
      <c r="C110" s="8"/>
      <c r="G110" s="6"/>
      <c r="H110" s="6"/>
      <c r="I110" s="6"/>
      <c r="J110" s="6"/>
      <c r="K110" s="6"/>
      <c r="L110" s="6"/>
    </row>
    <row r="111">
      <c r="B111" s="8"/>
      <c r="C111" s="8"/>
      <c r="G111" s="6"/>
      <c r="H111" s="6"/>
      <c r="I111" s="6"/>
      <c r="J111" s="6"/>
      <c r="K111" s="6"/>
      <c r="L111" s="6"/>
    </row>
    <row r="112">
      <c r="B112" s="8"/>
      <c r="C112" s="8"/>
      <c r="G112" s="6"/>
      <c r="H112" s="6"/>
      <c r="I112" s="6"/>
      <c r="J112" s="6"/>
      <c r="K112" s="6"/>
      <c r="L112" s="6"/>
    </row>
    <row r="113">
      <c r="B113" s="8"/>
      <c r="C113" s="8"/>
      <c r="G113" s="6"/>
      <c r="H113" s="6"/>
      <c r="I113" s="6"/>
      <c r="J113" s="6"/>
      <c r="K113" s="6"/>
      <c r="L113" s="6"/>
    </row>
    <row r="114">
      <c r="B114" s="8"/>
      <c r="C114" s="8"/>
      <c r="G114" s="6"/>
      <c r="H114" s="6"/>
      <c r="I114" s="6"/>
      <c r="J114" s="6"/>
      <c r="K114" s="6"/>
      <c r="L114" s="6"/>
    </row>
    <row r="115">
      <c r="B115" s="8"/>
      <c r="C115" s="8"/>
      <c r="G115" s="6"/>
      <c r="H115" s="6"/>
      <c r="I115" s="6"/>
      <c r="J115" s="6"/>
      <c r="K115" s="6"/>
      <c r="L115" s="6"/>
    </row>
    <row r="116">
      <c r="B116" s="8"/>
      <c r="C116" s="8"/>
      <c r="G116" s="6"/>
      <c r="H116" s="6"/>
      <c r="I116" s="6"/>
      <c r="J116" s="6"/>
      <c r="K116" s="6"/>
      <c r="L116" s="6"/>
    </row>
    <row r="117">
      <c r="B117" s="8"/>
      <c r="C117" s="8"/>
      <c r="G117" s="6"/>
      <c r="H117" s="6"/>
      <c r="I117" s="6"/>
      <c r="J117" s="6"/>
      <c r="K117" s="6"/>
      <c r="L117" s="6"/>
    </row>
    <row r="118">
      <c r="B118" s="8"/>
      <c r="C118" s="8"/>
      <c r="G118" s="6"/>
      <c r="H118" s="6"/>
      <c r="I118" s="6"/>
      <c r="J118" s="6"/>
      <c r="K118" s="6"/>
      <c r="L118" s="6"/>
    </row>
    <row r="119">
      <c r="B119" s="8"/>
      <c r="C119" s="8"/>
      <c r="G119" s="6"/>
      <c r="H119" s="6"/>
      <c r="I119" s="6"/>
      <c r="J119" s="6"/>
      <c r="K119" s="6"/>
      <c r="L119" s="6"/>
    </row>
    <row r="120">
      <c r="B120" s="8"/>
      <c r="C120" s="8"/>
      <c r="G120" s="6"/>
      <c r="H120" s="6"/>
      <c r="I120" s="6"/>
      <c r="J120" s="6"/>
      <c r="K120" s="6"/>
      <c r="L120" s="6"/>
    </row>
    <row r="121">
      <c r="B121" s="8"/>
      <c r="C121" s="8"/>
      <c r="G121" s="6"/>
      <c r="H121" s="6"/>
      <c r="I121" s="6"/>
      <c r="J121" s="6"/>
      <c r="K121" s="6"/>
      <c r="L121" s="6"/>
    </row>
    <row r="122">
      <c r="B122" s="8"/>
      <c r="C122" s="8"/>
      <c r="G122" s="6"/>
      <c r="H122" s="6"/>
      <c r="I122" s="6"/>
      <c r="J122" s="6"/>
      <c r="K122" s="6"/>
      <c r="L122" s="6"/>
    </row>
    <row r="123">
      <c r="B123" s="8"/>
      <c r="C123" s="8"/>
      <c r="G123" s="6"/>
      <c r="H123" s="6"/>
      <c r="I123" s="6"/>
      <c r="J123" s="6"/>
      <c r="K123" s="6"/>
      <c r="L123" s="6"/>
    </row>
    <row r="124">
      <c r="B124" s="8"/>
      <c r="C124" s="8"/>
      <c r="G124" s="6"/>
      <c r="H124" s="6"/>
      <c r="I124" s="6"/>
      <c r="J124" s="6"/>
      <c r="K124" s="6"/>
      <c r="L124" s="6"/>
    </row>
    <row r="125">
      <c r="B125" s="8"/>
      <c r="C125" s="8"/>
      <c r="G125" s="6"/>
      <c r="H125" s="6"/>
      <c r="I125" s="6"/>
      <c r="J125" s="6"/>
      <c r="K125" s="6"/>
      <c r="L125" s="6"/>
    </row>
    <row r="126">
      <c r="B126" s="8"/>
      <c r="C126" s="8"/>
      <c r="G126" s="6"/>
      <c r="H126" s="6"/>
      <c r="I126" s="6"/>
      <c r="J126" s="6"/>
      <c r="K126" s="6"/>
      <c r="L126" s="6"/>
    </row>
    <row r="127">
      <c r="B127" s="8"/>
      <c r="C127" s="8"/>
      <c r="G127" s="6"/>
      <c r="H127" s="6"/>
      <c r="I127" s="6"/>
      <c r="J127" s="6"/>
      <c r="K127" s="6"/>
      <c r="L127" s="6"/>
    </row>
    <row r="128">
      <c r="B128" s="8"/>
      <c r="C128" s="8"/>
      <c r="G128" s="6"/>
      <c r="H128" s="6"/>
      <c r="I128" s="6"/>
      <c r="J128" s="6"/>
      <c r="K128" s="6"/>
      <c r="L128" s="6"/>
    </row>
    <row r="129">
      <c r="B129" s="8"/>
      <c r="C129" s="8"/>
      <c r="G129" s="6"/>
      <c r="H129" s="6"/>
      <c r="I129" s="6"/>
      <c r="J129" s="6"/>
      <c r="K129" s="6"/>
      <c r="L129" s="6"/>
    </row>
    <row r="130">
      <c r="B130" s="8"/>
      <c r="C130" s="8"/>
      <c r="G130" s="6"/>
      <c r="H130" s="6"/>
      <c r="I130" s="6"/>
      <c r="J130" s="6"/>
      <c r="K130" s="6"/>
      <c r="L130" s="6"/>
    </row>
    <row r="131">
      <c r="B131" s="8"/>
      <c r="C131" s="8"/>
      <c r="G131" s="6"/>
      <c r="H131" s="6"/>
      <c r="I131" s="6"/>
      <c r="J131" s="6"/>
      <c r="K131" s="6"/>
      <c r="L131" s="6"/>
    </row>
    <row r="132">
      <c r="B132" s="8"/>
      <c r="C132" s="8"/>
      <c r="G132" s="6"/>
      <c r="H132" s="6"/>
      <c r="I132" s="6"/>
      <c r="J132" s="6"/>
      <c r="K132" s="6"/>
      <c r="L132" s="6"/>
    </row>
    <row r="133">
      <c r="B133" s="8"/>
      <c r="C133" s="8"/>
      <c r="G133" s="6"/>
      <c r="H133" s="6"/>
      <c r="I133" s="6"/>
      <c r="J133" s="6"/>
      <c r="K133" s="6"/>
      <c r="L133" s="6"/>
    </row>
    <row r="134">
      <c r="B134" s="8"/>
      <c r="C134" s="8"/>
      <c r="G134" s="6"/>
      <c r="H134" s="6"/>
      <c r="I134" s="6"/>
      <c r="J134" s="6"/>
      <c r="K134" s="6"/>
      <c r="L134" s="6"/>
    </row>
    <row r="135">
      <c r="B135" s="8"/>
      <c r="C135" s="8"/>
      <c r="G135" s="6"/>
      <c r="H135" s="6"/>
      <c r="I135" s="6"/>
      <c r="J135" s="6"/>
      <c r="K135" s="6"/>
      <c r="L135" s="6"/>
    </row>
    <row r="136">
      <c r="B136" s="8"/>
      <c r="C136" s="8"/>
      <c r="G136" s="6"/>
      <c r="H136" s="6"/>
      <c r="I136" s="6"/>
      <c r="J136" s="6"/>
      <c r="K136" s="6"/>
      <c r="L136" s="6"/>
    </row>
    <row r="137">
      <c r="B137" s="8"/>
      <c r="C137" s="8"/>
      <c r="G137" s="6"/>
      <c r="H137" s="6"/>
      <c r="I137" s="6"/>
      <c r="J137" s="6"/>
      <c r="K137" s="6"/>
      <c r="L137" s="6"/>
    </row>
    <row r="138">
      <c r="B138" s="8"/>
      <c r="C138" s="8"/>
      <c r="G138" s="6"/>
      <c r="H138" s="6"/>
      <c r="I138" s="6"/>
      <c r="J138" s="6"/>
      <c r="K138" s="6"/>
      <c r="L138" s="6"/>
    </row>
    <row r="139">
      <c r="B139" s="8"/>
      <c r="C139" s="8"/>
      <c r="G139" s="6"/>
      <c r="H139" s="6"/>
      <c r="I139" s="6"/>
      <c r="J139" s="6"/>
      <c r="K139" s="6"/>
      <c r="L139" s="6"/>
    </row>
    <row r="140">
      <c r="B140" s="8"/>
      <c r="C140" s="8"/>
      <c r="G140" s="6"/>
      <c r="H140" s="6"/>
      <c r="I140" s="6"/>
      <c r="J140" s="6"/>
      <c r="K140" s="6"/>
      <c r="L140" s="6"/>
    </row>
    <row r="141">
      <c r="B141" s="8"/>
      <c r="C141" s="8"/>
      <c r="G141" s="6"/>
      <c r="H141" s="6"/>
      <c r="I141" s="6"/>
      <c r="J141" s="6"/>
      <c r="K141" s="6"/>
      <c r="L141" s="6"/>
    </row>
    <row r="142">
      <c r="B142" s="8"/>
      <c r="C142" s="8"/>
      <c r="G142" s="6"/>
      <c r="H142" s="6"/>
      <c r="I142" s="6"/>
      <c r="J142" s="6"/>
      <c r="K142" s="6"/>
      <c r="L142" s="6"/>
    </row>
    <row r="143">
      <c r="B143" s="8"/>
      <c r="C143" s="8"/>
      <c r="G143" s="6"/>
      <c r="H143" s="6"/>
      <c r="I143" s="6"/>
      <c r="J143" s="6"/>
      <c r="K143" s="6"/>
      <c r="L143" s="6"/>
    </row>
    <row r="144">
      <c r="B144" s="8"/>
      <c r="C144" s="8"/>
      <c r="G144" s="6"/>
      <c r="H144" s="6"/>
      <c r="I144" s="6"/>
      <c r="J144" s="6"/>
      <c r="K144" s="6"/>
      <c r="L144" s="6"/>
    </row>
    <row r="145">
      <c r="B145" s="8"/>
      <c r="C145" s="8"/>
      <c r="G145" s="6"/>
      <c r="H145" s="6"/>
      <c r="I145" s="6"/>
      <c r="J145" s="6"/>
      <c r="K145" s="6"/>
      <c r="L145" s="6"/>
    </row>
    <row r="146">
      <c r="B146" s="8"/>
      <c r="C146" s="8"/>
      <c r="G146" s="6"/>
      <c r="H146" s="6"/>
      <c r="I146" s="6"/>
      <c r="J146" s="6"/>
      <c r="K146" s="6"/>
      <c r="L146" s="6"/>
    </row>
    <row r="147">
      <c r="B147" s="8"/>
      <c r="C147" s="8"/>
      <c r="G147" s="6"/>
      <c r="H147" s="6"/>
      <c r="I147" s="6"/>
      <c r="J147" s="6"/>
      <c r="K147" s="6"/>
      <c r="L147" s="6"/>
    </row>
    <row r="148">
      <c r="B148" s="8"/>
      <c r="C148" s="8"/>
      <c r="G148" s="6"/>
      <c r="H148" s="6"/>
      <c r="I148" s="6"/>
      <c r="J148" s="6"/>
      <c r="K148" s="6"/>
      <c r="L148" s="6"/>
    </row>
    <row r="149">
      <c r="B149" s="8"/>
      <c r="C149" s="8"/>
      <c r="G149" s="6"/>
      <c r="H149" s="6"/>
      <c r="I149" s="6"/>
      <c r="J149" s="6"/>
      <c r="K149" s="6"/>
      <c r="L149" s="6"/>
    </row>
    <row r="150">
      <c r="B150" s="8"/>
      <c r="C150" s="8"/>
      <c r="G150" s="6"/>
      <c r="H150" s="6"/>
      <c r="I150" s="6"/>
      <c r="J150" s="6"/>
      <c r="K150" s="6"/>
      <c r="L150" s="6"/>
    </row>
    <row r="151">
      <c r="B151" s="8"/>
      <c r="C151" s="8"/>
      <c r="G151" s="6"/>
      <c r="H151" s="6"/>
      <c r="I151" s="6"/>
      <c r="J151" s="6"/>
      <c r="K151" s="6"/>
      <c r="L151" s="6"/>
    </row>
    <row r="152">
      <c r="B152" s="8"/>
      <c r="C152" s="8"/>
      <c r="G152" s="6"/>
      <c r="H152" s="6"/>
      <c r="I152" s="6"/>
      <c r="J152" s="6"/>
      <c r="K152" s="6"/>
      <c r="L152" s="6"/>
    </row>
    <row r="153">
      <c r="B153" s="8"/>
      <c r="C153" s="8"/>
      <c r="G153" s="6"/>
      <c r="H153" s="6"/>
      <c r="I153" s="6"/>
      <c r="J153" s="6"/>
      <c r="K153" s="6"/>
      <c r="L153" s="6"/>
    </row>
    <row r="154">
      <c r="B154" s="8"/>
      <c r="C154" s="8"/>
      <c r="G154" s="6"/>
      <c r="H154" s="6"/>
      <c r="I154" s="6"/>
      <c r="J154" s="6"/>
      <c r="K154" s="6"/>
      <c r="L154" s="6"/>
    </row>
    <row r="155">
      <c r="B155" s="8"/>
      <c r="C155" s="8"/>
      <c r="G155" s="6"/>
      <c r="H155" s="6"/>
      <c r="I155" s="6"/>
      <c r="J155" s="6"/>
      <c r="K155" s="6"/>
      <c r="L155" s="6"/>
    </row>
    <row r="156">
      <c r="B156" s="8"/>
      <c r="C156" s="8"/>
      <c r="G156" s="6"/>
      <c r="H156" s="6"/>
      <c r="I156" s="6"/>
      <c r="J156" s="6"/>
      <c r="K156" s="6"/>
      <c r="L156" s="6"/>
    </row>
    <row r="157">
      <c r="B157" s="8"/>
      <c r="C157" s="8"/>
      <c r="G157" s="6"/>
      <c r="H157" s="6"/>
      <c r="I157" s="6"/>
      <c r="J157" s="6"/>
      <c r="K157" s="6"/>
      <c r="L157" s="6"/>
    </row>
    <row r="158">
      <c r="B158" s="8"/>
      <c r="C158" s="8"/>
      <c r="G158" s="6"/>
      <c r="H158" s="6"/>
      <c r="I158" s="6"/>
      <c r="J158" s="6"/>
      <c r="K158" s="6"/>
      <c r="L158" s="6"/>
    </row>
    <row r="159">
      <c r="B159" s="8"/>
      <c r="C159" s="8"/>
      <c r="G159" s="6"/>
      <c r="H159" s="6"/>
      <c r="I159" s="6"/>
      <c r="J159" s="6"/>
      <c r="K159" s="6"/>
      <c r="L159" s="6"/>
    </row>
    <row r="160">
      <c r="B160" s="8"/>
      <c r="C160" s="8"/>
      <c r="G160" s="6"/>
      <c r="H160" s="6"/>
      <c r="I160" s="6"/>
      <c r="J160" s="6"/>
      <c r="K160" s="6"/>
      <c r="L160" s="6"/>
    </row>
    <row r="161">
      <c r="B161" s="8"/>
      <c r="C161" s="8"/>
      <c r="G161" s="6"/>
      <c r="H161" s="6"/>
      <c r="I161" s="6"/>
      <c r="J161" s="6"/>
      <c r="K161" s="6"/>
      <c r="L161" s="6"/>
    </row>
    <row r="162">
      <c r="B162" s="8"/>
      <c r="C162" s="8"/>
      <c r="G162" s="6"/>
      <c r="H162" s="6"/>
      <c r="I162" s="6"/>
      <c r="J162" s="6"/>
      <c r="K162" s="6"/>
      <c r="L162" s="6"/>
    </row>
    <row r="163">
      <c r="B163" s="8"/>
      <c r="C163" s="8"/>
      <c r="G163" s="6"/>
      <c r="H163" s="6"/>
      <c r="I163" s="6"/>
      <c r="J163" s="6"/>
      <c r="K163" s="6"/>
      <c r="L163" s="6"/>
    </row>
    <row r="164">
      <c r="B164" s="8"/>
      <c r="C164" s="8"/>
      <c r="G164" s="6"/>
      <c r="H164" s="6"/>
      <c r="I164" s="6"/>
      <c r="J164" s="6"/>
      <c r="K164" s="6"/>
      <c r="L164" s="6"/>
    </row>
    <row r="165">
      <c r="B165" s="8"/>
      <c r="C165" s="8"/>
      <c r="G165" s="6"/>
      <c r="H165" s="6"/>
      <c r="I165" s="6"/>
      <c r="J165" s="6"/>
      <c r="K165" s="6"/>
      <c r="L165" s="6"/>
    </row>
    <row r="166">
      <c r="B166" s="8"/>
      <c r="C166" s="8"/>
      <c r="G166" s="6"/>
      <c r="H166" s="6"/>
      <c r="I166" s="6"/>
      <c r="J166" s="6"/>
      <c r="K166" s="6"/>
      <c r="L166" s="6"/>
    </row>
    <row r="167">
      <c r="B167" s="8"/>
      <c r="C167" s="8"/>
      <c r="G167" s="6"/>
      <c r="H167" s="6"/>
      <c r="I167" s="6"/>
      <c r="J167" s="6"/>
      <c r="K167" s="6"/>
      <c r="L167" s="6"/>
    </row>
    <row r="168">
      <c r="B168" s="8"/>
      <c r="C168" s="8"/>
      <c r="G168" s="6"/>
      <c r="H168" s="6"/>
      <c r="I168" s="6"/>
      <c r="J168" s="6"/>
      <c r="K168" s="6"/>
      <c r="L168" s="6"/>
    </row>
    <row r="169">
      <c r="B169" s="8"/>
      <c r="C169" s="8"/>
      <c r="G169" s="6"/>
      <c r="H169" s="6"/>
      <c r="I169" s="6"/>
      <c r="J169" s="6"/>
      <c r="K169" s="6"/>
      <c r="L169" s="6"/>
    </row>
    <row r="170">
      <c r="B170" s="8"/>
      <c r="C170" s="8"/>
      <c r="G170" s="6"/>
      <c r="H170" s="6"/>
      <c r="I170" s="6"/>
      <c r="J170" s="6"/>
      <c r="K170" s="6"/>
      <c r="L170" s="6"/>
    </row>
    <row r="171">
      <c r="B171" s="8"/>
      <c r="C171" s="8"/>
      <c r="G171" s="6"/>
      <c r="H171" s="6"/>
      <c r="I171" s="6"/>
      <c r="J171" s="6"/>
      <c r="K171" s="6"/>
      <c r="L171" s="6"/>
    </row>
    <row r="172">
      <c r="B172" s="8"/>
      <c r="C172" s="8"/>
      <c r="G172" s="6"/>
      <c r="H172" s="6"/>
      <c r="I172" s="6"/>
      <c r="J172" s="6"/>
      <c r="K172" s="6"/>
      <c r="L172" s="6"/>
    </row>
    <row r="173">
      <c r="B173" s="8"/>
      <c r="C173" s="8"/>
      <c r="G173" s="6"/>
      <c r="H173" s="6"/>
      <c r="I173" s="6"/>
      <c r="J173" s="6"/>
      <c r="K173" s="6"/>
      <c r="L173" s="6"/>
    </row>
    <row r="174">
      <c r="B174" s="8"/>
      <c r="C174" s="8"/>
      <c r="G174" s="6"/>
      <c r="H174" s="6"/>
      <c r="I174" s="6"/>
      <c r="J174" s="6"/>
      <c r="K174" s="6"/>
      <c r="L174" s="6"/>
    </row>
    <row r="175">
      <c r="B175" s="8"/>
      <c r="C175" s="8"/>
      <c r="G175" s="6"/>
      <c r="H175" s="6"/>
      <c r="I175" s="6"/>
      <c r="J175" s="6"/>
      <c r="K175" s="6"/>
      <c r="L175" s="6"/>
    </row>
    <row r="176">
      <c r="B176" s="8"/>
      <c r="C176" s="8"/>
      <c r="G176" s="6"/>
      <c r="H176" s="6"/>
      <c r="I176" s="6"/>
      <c r="J176" s="6"/>
      <c r="K176" s="6"/>
      <c r="L176" s="6"/>
    </row>
    <row r="177">
      <c r="B177" s="8"/>
      <c r="C177" s="8"/>
      <c r="G177" s="6"/>
      <c r="H177" s="6"/>
      <c r="I177" s="6"/>
      <c r="J177" s="6"/>
      <c r="K177" s="6"/>
      <c r="L177" s="6"/>
    </row>
    <row r="178">
      <c r="B178" s="8"/>
      <c r="C178" s="8"/>
      <c r="G178" s="6"/>
      <c r="H178" s="6"/>
      <c r="I178" s="6"/>
      <c r="J178" s="6"/>
      <c r="K178" s="6"/>
      <c r="L178" s="6"/>
    </row>
    <row r="179">
      <c r="B179" s="8"/>
      <c r="C179" s="8"/>
      <c r="G179" s="6"/>
      <c r="H179" s="6"/>
      <c r="I179" s="6"/>
      <c r="J179" s="6"/>
      <c r="K179" s="6"/>
      <c r="L179" s="6"/>
    </row>
    <row r="180">
      <c r="B180" s="8"/>
      <c r="C180" s="8"/>
      <c r="G180" s="6"/>
      <c r="H180" s="6"/>
      <c r="I180" s="6"/>
      <c r="J180" s="6"/>
      <c r="K180" s="6"/>
      <c r="L180" s="6"/>
    </row>
    <row r="181">
      <c r="B181" s="8"/>
      <c r="C181" s="8"/>
      <c r="G181" s="6"/>
      <c r="H181" s="6"/>
      <c r="I181" s="6"/>
      <c r="J181" s="6"/>
      <c r="K181" s="6"/>
      <c r="L181" s="6"/>
    </row>
    <row r="182">
      <c r="B182" s="8"/>
      <c r="C182" s="8"/>
      <c r="G182" s="6"/>
      <c r="H182" s="6"/>
      <c r="I182" s="6"/>
      <c r="J182" s="6"/>
      <c r="K182" s="6"/>
      <c r="L182" s="6"/>
    </row>
    <row r="183">
      <c r="B183" s="8"/>
      <c r="C183" s="8"/>
      <c r="G183" s="6"/>
      <c r="H183" s="6"/>
      <c r="I183" s="6"/>
      <c r="J183" s="6"/>
      <c r="K183" s="6"/>
      <c r="L183" s="6"/>
    </row>
    <row r="184">
      <c r="B184" s="8"/>
      <c r="C184" s="8"/>
      <c r="G184" s="6"/>
      <c r="H184" s="6"/>
      <c r="I184" s="6"/>
      <c r="J184" s="6"/>
      <c r="K184" s="6"/>
      <c r="L184" s="6"/>
    </row>
    <row r="185">
      <c r="B185" s="8"/>
      <c r="C185" s="8"/>
      <c r="G185" s="6"/>
      <c r="H185" s="6"/>
      <c r="I185" s="6"/>
      <c r="J185" s="6"/>
      <c r="K185" s="6"/>
      <c r="L185" s="6"/>
    </row>
    <row r="186">
      <c r="B186" s="8"/>
      <c r="C186" s="8"/>
      <c r="G186" s="6"/>
      <c r="H186" s="6"/>
      <c r="I186" s="6"/>
      <c r="J186" s="6"/>
      <c r="K186" s="6"/>
      <c r="L186" s="6"/>
    </row>
    <row r="187">
      <c r="B187" s="8"/>
      <c r="C187" s="8"/>
      <c r="G187" s="6"/>
      <c r="H187" s="6"/>
      <c r="I187" s="6"/>
      <c r="J187" s="6"/>
      <c r="K187" s="6"/>
      <c r="L187" s="6"/>
    </row>
    <row r="188">
      <c r="B188" s="8"/>
      <c r="C188" s="8"/>
      <c r="G188" s="6"/>
      <c r="H188" s="6"/>
      <c r="I188" s="6"/>
      <c r="J188" s="6"/>
      <c r="K188" s="6"/>
      <c r="L188" s="6"/>
    </row>
    <row r="189">
      <c r="B189" s="8"/>
      <c r="C189" s="8"/>
      <c r="G189" s="6"/>
      <c r="H189" s="6"/>
      <c r="I189" s="6"/>
      <c r="J189" s="6"/>
      <c r="K189" s="6"/>
      <c r="L189" s="6"/>
    </row>
    <row r="190">
      <c r="B190" s="8"/>
      <c r="C190" s="8"/>
      <c r="G190" s="6"/>
      <c r="H190" s="6"/>
      <c r="I190" s="6"/>
      <c r="J190" s="6"/>
      <c r="K190" s="6"/>
      <c r="L190" s="6"/>
    </row>
    <row r="191">
      <c r="B191" s="8"/>
      <c r="C191" s="8"/>
      <c r="G191" s="6"/>
      <c r="H191" s="6"/>
      <c r="I191" s="6"/>
      <c r="J191" s="6"/>
      <c r="K191" s="6"/>
      <c r="L191" s="6"/>
    </row>
    <row r="192">
      <c r="B192" s="8"/>
      <c r="C192" s="8"/>
      <c r="G192" s="6"/>
      <c r="H192" s="6"/>
      <c r="I192" s="6"/>
      <c r="J192" s="6"/>
      <c r="K192" s="6"/>
      <c r="L192" s="6"/>
    </row>
    <row r="193">
      <c r="B193" s="8"/>
      <c r="C193" s="8"/>
      <c r="G193" s="6"/>
      <c r="H193" s="6"/>
      <c r="I193" s="6"/>
      <c r="J193" s="6"/>
      <c r="K193" s="6"/>
      <c r="L193" s="6"/>
    </row>
    <row r="194">
      <c r="B194" s="8"/>
      <c r="C194" s="8"/>
      <c r="G194" s="6"/>
      <c r="H194" s="6"/>
      <c r="I194" s="6"/>
      <c r="J194" s="6"/>
      <c r="K194" s="6"/>
      <c r="L194" s="6"/>
    </row>
    <row r="195">
      <c r="B195" s="8"/>
      <c r="C195" s="8"/>
      <c r="G195" s="6"/>
      <c r="H195" s="6"/>
      <c r="I195" s="6"/>
      <c r="J195" s="6"/>
      <c r="K195" s="6"/>
      <c r="L195" s="6"/>
    </row>
    <row r="196">
      <c r="B196" s="8"/>
      <c r="C196" s="8"/>
      <c r="G196" s="6"/>
      <c r="H196" s="6"/>
      <c r="I196" s="6"/>
      <c r="J196" s="6"/>
      <c r="K196" s="6"/>
      <c r="L196" s="6"/>
    </row>
    <row r="197">
      <c r="B197" s="8"/>
      <c r="C197" s="8"/>
      <c r="G197" s="6"/>
      <c r="H197" s="6"/>
      <c r="I197" s="6"/>
      <c r="J197" s="6"/>
      <c r="K197" s="6"/>
      <c r="L197" s="6"/>
    </row>
    <row r="198">
      <c r="B198" s="8"/>
      <c r="C198" s="8"/>
      <c r="G198" s="6"/>
      <c r="H198" s="6"/>
      <c r="I198" s="6"/>
      <c r="J198" s="6"/>
      <c r="K198" s="6"/>
      <c r="L198" s="6"/>
    </row>
    <row r="199">
      <c r="B199" s="8"/>
      <c r="C199" s="8"/>
      <c r="G199" s="6"/>
      <c r="H199" s="6"/>
      <c r="I199" s="6"/>
      <c r="J199" s="6"/>
      <c r="K199" s="6"/>
      <c r="L199" s="6"/>
    </row>
    <row r="200">
      <c r="B200" s="8"/>
      <c r="C200" s="8"/>
      <c r="G200" s="6"/>
      <c r="H200" s="6"/>
      <c r="I200" s="6"/>
      <c r="J200" s="6"/>
      <c r="K200" s="6"/>
      <c r="L200" s="6"/>
    </row>
    <row r="201">
      <c r="B201" s="8"/>
      <c r="C201" s="8"/>
      <c r="G201" s="6"/>
      <c r="H201" s="6"/>
      <c r="I201" s="6"/>
      <c r="J201" s="6"/>
      <c r="K201" s="6"/>
      <c r="L201" s="6"/>
    </row>
    <row r="202">
      <c r="B202" s="8"/>
      <c r="C202" s="8"/>
      <c r="G202" s="6"/>
      <c r="H202" s="6"/>
      <c r="I202" s="6"/>
      <c r="J202" s="6"/>
      <c r="K202" s="6"/>
      <c r="L202" s="6"/>
    </row>
    <row r="203">
      <c r="B203" s="8"/>
      <c r="C203" s="8"/>
      <c r="G203" s="6"/>
      <c r="H203" s="6"/>
      <c r="I203" s="6"/>
      <c r="J203" s="6"/>
      <c r="K203" s="6"/>
      <c r="L203" s="6"/>
    </row>
    <row r="204">
      <c r="B204" s="8"/>
      <c r="C204" s="8"/>
      <c r="G204" s="6"/>
      <c r="H204" s="6"/>
      <c r="I204" s="6"/>
      <c r="J204" s="6"/>
      <c r="K204" s="6"/>
      <c r="L204" s="6"/>
    </row>
    <row r="205">
      <c r="B205" s="8"/>
      <c r="C205" s="8"/>
      <c r="G205" s="6"/>
      <c r="H205" s="6"/>
      <c r="I205" s="6"/>
      <c r="J205" s="6"/>
      <c r="K205" s="6"/>
      <c r="L205" s="6"/>
    </row>
    <row r="206">
      <c r="B206" s="8"/>
      <c r="C206" s="8"/>
      <c r="G206" s="6"/>
      <c r="H206" s="6"/>
      <c r="I206" s="6"/>
      <c r="J206" s="6"/>
      <c r="K206" s="6"/>
      <c r="L206" s="6"/>
    </row>
    <row r="207">
      <c r="B207" s="8"/>
      <c r="C207" s="8"/>
      <c r="G207" s="6"/>
      <c r="H207" s="6"/>
      <c r="I207" s="6"/>
      <c r="J207" s="6"/>
      <c r="K207" s="6"/>
      <c r="L207" s="6"/>
    </row>
    <row r="208">
      <c r="B208" s="8"/>
      <c r="C208" s="8"/>
      <c r="G208" s="6"/>
      <c r="H208" s="6"/>
      <c r="I208" s="6"/>
      <c r="J208" s="6"/>
      <c r="K208" s="6"/>
      <c r="L208" s="6"/>
    </row>
    <row r="209">
      <c r="B209" s="8"/>
      <c r="C209" s="8"/>
      <c r="G209" s="6"/>
      <c r="H209" s="6"/>
      <c r="I209" s="6"/>
      <c r="J209" s="6"/>
      <c r="K209" s="6"/>
      <c r="L209" s="6"/>
    </row>
    <row r="210">
      <c r="B210" s="8"/>
      <c r="C210" s="8"/>
      <c r="G210" s="6"/>
      <c r="H210" s="6"/>
      <c r="I210" s="6"/>
      <c r="J210" s="6"/>
      <c r="K210" s="6"/>
      <c r="L210" s="6"/>
    </row>
    <row r="211">
      <c r="B211" s="8"/>
      <c r="C211" s="8"/>
      <c r="G211" s="6"/>
      <c r="H211" s="6"/>
      <c r="I211" s="6"/>
      <c r="J211" s="6"/>
      <c r="K211" s="6"/>
      <c r="L211" s="6"/>
    </row>
    <row r="212">
      <c r="B212" s="8"/>
      <c r="C212" s="8"/>
      <c r="G212" s="6"/>
      <c r="H212" s="6"/>
      <c r="I212" s="6"/>
      <c r="J212" s="6"/>
      <c r="K212" s="6"/>
      <c r="L212" s="6"/>
    </row>
    <row r="213">
      <c r="B213" s="8"/>
      <c r="C213" s="8"/>
      <c r="G213" s="6"/>
      <c r="H213" s="6"/>
      <c r="I213" s="6"/>
      <c r="J213" s="6"/>
      <c r="K213" s="6"/>
      <c r="L213" s="6"/>
    </row>
    <row r="214">
      <c r="B214" s="8"/>
      <c r="C214" s="8"/>
      <c r="G214" s="6"/>
      <c r="H214" s="6"/>
      <c r="I214" s="6"/>
      <c r="J214" s="6"/>
      <c r="K214" s="6"/>
      <c r="L214" s="6"/>
    </row>
    <row r="215">
      <c r="B215" s="8"/>
      <c r="C215" s="8"/>
      <c r="G215" s="6"/>
      <c r="H215" s="6"/>
      <c r="I215" s="6"/>
      <c r="J215" s="6"/>
      <c r="K215" s="6"/>
      <c r="L215" s="6"/>
    </row>
    <row r="216">
      <c r="B216" s="8"/>
      <c r="C216" s="8"/>
      <c r="G216" s="6"/>
      <c r="H216" s="6"/>
      <c r="I216" s="6"/>
      <c r="J216" s="6"/>
      <c r="K216" s="6"/>
      <c r="L216" s="6"/>
    </row>
    <row r="217">
      <c r="B217" s="8"/>
      <c r="C217" s="8"/>
      <c r="G217" s="6"/>
      <c r="H217" s="6"/>
      <c r="I217" s="6"/>
      <c r="J217" s="6"/>
      <c r="K217" s="6"/>
      <c r="L217" s="6"/>
    </row>
    <row r="218">
      <c r="B218" s="8"/>
      <c r="C218" s="8"/>
      <c r="G218" s="6"/>
      <c r="H218" s="6"/>
      <c r="I218" s="6"/>
      <c r="J218" s="6"/>
      <c r="K218" s="6"/>
      <c r="L218" s="6"/>
    </row>
    <row r="219">
      <c r="B219" s="8"/>
      <c r="C219" s="8"/>
      <c r="G219" s="6"/>
      <c r="H219" s="6"/>
      <c r="I219" s="6"/>
      <c r="J219" s="6"/>
      <c r="K219" s="6"/>
      <c r="L219" s="6"/>
    </row>
    <row r="220">
      <c r="B220" s="8"/>
      <c r="C220" s="8"/>
      <c r="G220" s="6"/>
      <c r="H220" s="6"/>
      <c r="I220" s="6"/>
      <c r="J220" s="6"/>
      <c r="K220" s="6"/>
      <c r="L220" s="6"/>
    </row>
    <row r="221">
      <c r="B221" s="8"/>
      <c r="C221" s="8"/>
      <c r="G221" s="6"/>
      <c r="H221" s="6"/>
      <c r="I221" s="6"/>
      <c r="J221" s="6"/>
      <c r="K221" s="6"/>
      <c r="L221" s="6"/>
    </row>
    <row r="222">
      <c r="B222" s="8"/>
      <c r="C222" s="8"/>
      <c r="G222" s="6"/>
      <c r="H222" s="6"/>
      <c r="I222" s="6"/>
      <c r="J222" s="6"/>
      <c r="K222" s="6"/>
      <c r="L222" s="6"/>
    </row>
    <row r="223">
      <c r="B223" s="8"/>
      <c r="C223" s="8"/>
      <c r="G223" s="6"/>
      <c r="H223" s="6"/>
      <c r="I223" s="6"/>
      <c r="J223" s="6"/>
      <c r="K223" s="6"/>
      <c r="L223" s="6"/>
    </row>
    <row r="224">
      <c r="B224" s="8"/>
      <c r="C224" s="8"/>
      <c r="G224" s="6"/>
      <c r="H224" s="6"/>
      <c r="I224" s="6"/>
      <c r="J224" s="6"/>
      <c r="K224" s="6"/>
      <c r="L224" s="6"/>
    </row>
    <row r="225">
      <c r="B225" s="8"/>
      <c r="C225" s="8"/>
      <c r="G225" s="6"/>
      <c r="H225" s="6"/>
      <c r="I225" s="6"/>
      <c r="J225" s="6"/>
      <c r="K225" s="6"/>
      <c r="L225" s="6"/>
    </row>
    <row r="226">
      <c r="B226" s="8"/>
      <c r="C226" s="8"/>
      <c r="G226" s="6"/>
      <c r="H226" s="6"/>
      <c r="I226" s="6"/>
      <c r="J226" s="6"/>
      <c r="K226" s="6"/>
      <c r="L226" s="6"/>
    </row>
    <row r="227">
      <c r="B227" s="8"/>
      <c r="C227" s="8"/>
      <c r="G227" s="6"/>
      <c r="H227" s="6"/>
      <c r="I227" s="6"/>
      <c r="J227" s="6"/>
      <c r="K227" s="6"/>
      <c r="L227" s="6"/>
    </row>
    <row r="228">
      <c r="B228" s="8"/>
      <c r="C228" s="8"/>
      <c r="G228" s="6"/>
      <c r="H228" s="6"/>
      <c r="I228" s="6"/>
      <c r="J228" s="6"/>
      <c r="K228" s="6"/>
      <c r="L228" s="6"/>
    </row>
    <row r="229">
      <c r="B229" s="8"/>
      <c r="C229" s="8"/>
      <c r="G229" s="6"/>
      <c r="H229" s="6"/>
      <c r="I229" s="6"/>
      <c r="J229" s="6"/>
      <c r="K229" s="6"/>
      <c r="L229" s="6"/>
    </row>
    <row r="230">
      <c r="B230" s="8"/>
      <c r="C230" s="8"/>
      <c r="G230" s="6"/>
      <c r="H230" s="6"/>
      <c r="I230" s="6"/>
      <c r="J230" s="6"/>
      <c r="K230" s="6"/>
      <c r="L230" s="6"/>
    </row>
    <row r="231">
      <c r="B231" s="8"/>
      <c r="C231" s="8"/>
      <c r="G231" s="6"/>
      <c r="H231" s="6"/>
      <c r="I231" s="6"/>
      <c r="J231" s="6"/>
      <c r="K231" s="6"/>
      <c r="L231" s="6"/>
    </row>
    <row r="232">
      <c r="B232" s="8"/>
      <c r="C232" s="8"/>
      <c r="G232" s="6"/>
      <c r="H232" s="6"/>
      <c r="I232" s="6"/>
      <c r="J232" s="6"/>
      <c r="K232" s="6"/>
      <c r="L232" s="6"/>
    </row>
    <row r="233">
      <c r="B233" s="8"/>
      <c r="C233" s="8"/>
      <c r="G233" s="6"/>
      <c r="H233" s="6"/>
      <c r="I233" s="6"/>
      <c r="J233" s="6"/>
      <c r="K233" s="6"/>
      <c r="L233" s="6"/>
    </row>
    <row r="234">
      <c r="B234" s="8"/>
      <c r="C234" s="8"/>
      <c r="G234" s="6"/>
      <c r="H234" s="6"/>
      <c r="I234" s="6"/>
      <c r="J234" s="6"/>
      <c r="K234" s="6"/>
      <c r="L234" s="6"/>
    </row>
    <row r="235">
      <c r="B235" s="8"/>
      <c r="C235" s="8"/>
      <c r="G235" s="6"/>
      <c r="H235" s="6"/>
      <c r="I235" s="6"/>
      <c r="J235" s="6"/>
      <c r="K235" s="6"/>
      <c r="L235" s="6"/>
    </row>
    <row r="236">
      <c r="B236" s="8"/>
      <c r="C236" s="8"/>
      <c r="G236" s="6"/>
      <c r="H236" s="6"/>
      <c r="I236" s="6"/>
      <c r="J236" s="6"/>
      <c r="K236" s="6"/>
      <c r="L236" s="6"/>
    </row>
    <row r="237">
      <c r="B237" s="8"/>
      <c r="C237" s="8"/>
      <c r="G237" s="6"/>
      <c r="H237" s="6"/>
      <c r="I237" s="6"/>
      <c r="J237" s="6"/>
      <c r="K237" s="6"/>
      <c r="L237" s="6"/>
    </row>
    <row r="238">
      <c r="B238" s="8"/>
      <c r="C238" s="8"/>
      <c r="G238" s="6"/>
      <c r="H238" s="6"/>
      <c r="I238" s="6"/>
      <c r="J238" s="6"/>
      <c r="K238" s="6"/>
      <c r="L238" s="6"/>
    </row>
    <row r="239">
      <c r="B239" s="8"/>
      <c r="C239" s="8"/>
      <c r="G239" s="6"/>
      <c r="H239" s="6"/>
      <c r="I239" s="6"/>
      <c r="J239" s="6"/>
      <c r="K239" s="6"/>
      <c r="L239" s="6"/>
    </row>
    <row r="240">
      <c r="B240" s="8"/>
      <c r="C240" s="8"/>
      <c r="G240" s="6"/>
      <c r="H240" s="6"/>
      <c r="I240" s="6"/>
      <c r="J240" s="6"/>
      <c r="K240" s="6"/>
      <c r="L240" s="6"/>
    </row>
    <row r="241">
      <c r="B241" s="8"/>
      <c r="C241" s="8"/>
      <c r="G241" s="6"/>
      <c r="H241" s="6"/>
      <c r="I241" s="6"/>
      <c r="J241" s="6"/>
      <c r="K241" s="6"/>
      <c r="L241" s="6"/>
    </row>
    <row r="242">
      <c r="B242" s="8"/>
      <c r="C242" s="8"/>
      <c r="G242" s="6"/>
      <c r="H242" s="6"/>
      <c r="I242" s="6"/>
      <c r="J242" s="6"/>
      <c r="K242" s="6"/>
      <c r="L242" s="6"/>
    </row>
    <row r="243">
      <c r="B243" s="8"/>
      <c r="C243" s="8"/>
      <c r="G243" s="6"/>
      <c r="H243" s="6"/>
      <c r="I243" s="6"/>
      <c r="J243" s="6"/>
      <c r="K243" s="6"/>
      <c r="L243" s="6"/>
    </row>
    <row r="244">
      <c r="B244" s="8"/>
      <c r="C244" s="8"/>
      <c r="G244" s="6"/>
      <c r="H244" s="6"/>
      <c r="I244" s="6"/>
      <c r="J244" s="6"/>
      <c r="K244" s="6"/>
      <c r="L244" s="6"/>
    </row>
    <row r="245">
      <c r="B245" s="8"/>
      <c r="C245" s="8"/>
      <c r="G245" s="6"/>
      <c r="H245" s="6"/>
      <c r="I245" s="6"/>
      <c r="J245" s="6"/>
      <c r="K245" s="6"/>
      <c r="L245" s="6"/>
    </row>
    <row r="246">
      <c r="B246" s="8"/>
      <c r="C246" s="8"/>
      <c r="G246" s="6"/>
      <c r="H246" s="6"/>
      <c r="I246" s="6"/>
      <c r="J246" s="6"/>
      <c r="K246" s="6"/>
      <c r="L246" s="6"/>
    </row>
    <row r="247">
      <c r="B247" s="8"/>
      <c r="C247" s="8"/>
      <c r="G247" s="6"/>
      <c r="H247" s="6"/>
      <c r="I247" s="6"/>
      <c r="J247" s="6"/>
      <c r="K247" s="6"/>
      <c r="L247" s="6"/>
    </row>
    <row r="248">
      <c r="B248" s="8"/>
      <c r="C248" s="8"/>
      <c r="G248" s="6"/>
      <c r="H248" s="6"/>
      <c r="I248" s="6"/>
      <c r="J248" s="6"/>
      <c r="K248" s="6"/>
      <c r="L248" s="6"/>
    </row>
    <row r="249">
      <c r="B249" s="8"/>
      <c r="C249" s="8"/>
      <c r="G249" s="6"/>
      <c r="H249" s="6"/>
      <c r="I249" s="6"/>
      <c r="J249" s="6"/>
      <c r="K249" s="6"/>
      <c r="L249" s="6"/>
    </row>
    <row r="250">
      <c r="B250" s="8"/>
      <c r="C250" s="8"/>
      <c r="G250" s="6"/>
      <c r="H250" s="6"/>
      <c r="I250" s="6"/>
      <c r="J250" s="6"/>
      <c r="K250" s="6"/>
      <c r="L250" s="6"/>
    </row>
    <row r="251">
      <c r="B251" s="8"/>
      <c r="C251" s="8"/>
      <c r="G251" s="6"/>
      <c r="H251" s="6"/>
      <c r="I251" s="6"/>
      <c r="J251" s="6"/>
      <c r="K251" s="6"/>
      <c r="L251" s="6"/>
    </row>
    <row r="252">
      <c r="B252" s="8"/>
      <c r="C252" s="8"/>
      <c r="G252" s="6"/>
      <c r="H252" s="6"/>
      <c r="I252" s="6"/>
      <c r="J252" s="6"/>
      <c r="K252" s="6"/>
      <c r="L252" s="6"/>
    </row>
    <row r="253">
      <c r="B253" s="8"/>
      <c r="C253" s="8"/>
      <c r="G253" s="6"/>
      <c r="H253" s="6"/>
      <c r="I253" s="6"/>
      <c r="J253" s="6"/>
      <c r="K253" s="6"/>
      <c r="L253" s="6"/>
    </row>
    <row r="254">
      <c r="B254" s="8"/>
      <c r="C254" s="8"/>
      <c r="G254" s="6"/>
      <c r="H254" s="6"/>
      <c r="I254" s="6"/>
      <c r="J254" s="6"/>
      <c r="K254" s="6"/>
      <c r="L254" s="6"/>
    </row>
    <row r="255">
      <c r="B255" s="8"/>
      <c r="C255" s="8"/>
      <c r="G255" s="6"/>
      <c r="H255" s="6"/>
      <c r="I255" s="6"/>
      <c r="J255" s="6"/>
      <c r="K255" s="6"/>
      <c r="L255" s="6"/>
    </row>
    <row r="256">
      <c r="B256" s="8"/>
      <c r="C256" s="8"/>
      <c r="G256" s="6"/>
      <c r="H256" s="6"/>
      <c r="I256" s="6"/>
      <c r="J256" s="6"/>
      <c r="K256" s="6"/>
      <c r="L256" s="6"/>
    </row>
    <row r="257">
      <c r="B257" s="8"/>
      <c r="C257" s="8"/>
      <c r="G257" s="6"/>
      <c r="H257" s="6"/>
      <c r="I257" s="6"/>
      <c r="J257" s="6"/>
      <c r="K257" s="6"/>
      <c r="L257" s="6"/>
    </row>
    <row r="258">
      <c r="B258" s="8"/>
      <c r="C258" s="8"/>
      <c r="G258" s="6"/>
      <c r="H258" s="6"/>
      <c r="I258" s="6"/>
      <c r="J258" s="6"/>
      <c r="K258" s="6"/>
      <c r="L258" s="6"/>
    </row>
    <row r="259">
      <c r="B259" s="8"/>
      <c r="C259" s="8"/>
      <c r="G259" s="6"/>
      <c r="H259" s="6"/>
      <c r="I259" s="6"/>
      <c r="J259" s="6"/>
      <c r="K259" s="6"/>
      <c r="L259" s="6"/>
    </row>
    <row r="260">
      <c r="B260" s="8"/>
      <c r="C260" s="8"/>
      <c r="G260" s="6"/>
      <c r="H260" s="6"/>
      <c r="I260" s="6"/>
      <c r="J260" s="6"/>
      <c r="K260" s="6"/>
      <c r="L260" s="6"/>
    </row>
    <row r="261">
      <c r="B261" s="8"/>
      <c r="C261" s="8"/>
      <c r="G261" s="6"/>
      <c r="H261" s="6"/>
      <c r="I261" s="6"/>
      <c r="J261" s="6"/>
      <c r="K261" s="6"/>
      <c r="L261" s="6"/>
    </row>
    <row r="262">
      <c r="B262" s="8"/>
      <c r="C262" s="8"/>
      <c r="G262" s="6"/>
      <c r="H262" s="6"/>
      <c r="I262" s="6"/>
      <c r="J262" s="6"/>
      <c r="K262" s="6"/>
      <c r="L262" s="6"/>
    </row>
    <row r="263">
      <c r="B263" s="8"/>
      <c r="C263" s="8"/>
      <c r="G263" s="6"/>
      <c r="H263" s="6"/>
      <c r="I263" s="6"/>
      <c r="J263" s="6"/>
      <c r="K263" s="6"/>
      <c r="L263" s="6"/>
    </row>
    <row r="264">
      <c r="B264" s="8"/>
      <c r="C264" s="8"/>
      <c r="G264" s="6"/>
      <c r="H264" s="6"/>
      <c r="I264" s="6"/>
      <c r="J264" s="6"/>
      <c r="K264" s="6"/>
      <c r="L264" s="6"/>
    </row>
    <row r="265">
      <c r="B265" s="8"/>
      <c r="C265" s="8"/>
      <c r="G265" s="6"/>
      <c r="H265" s="6"/>
      <c r="I265" s="6"/>
      <c r="J265" s="6"/>
      <c r="K265" s="6"/>
      <c r="L265" s="6"/>
    </row>
    <row r="266">
      <c r="B266" s="8"/>
      <c r="C266" s="8"/>
      <c r="G266" s="6"/>
      <c r="H266" s="6"/>
      <c r="I266" s="6"/>
      <c r="J266" s="6"/>
      <c r="K266" s="6"/>
      <c r="L266" s="6"/>
    </row>
    <row r="267">
      <c r="B267" s="8"/>
      <c r="C267" s="8"/>
      <c r="G267" s="6"/>
      <c r="H267" s="6"/>
      <c r="I267" s="6"/>
      <c r="J267" s="6"/>
      <c r="K267" s="6"/>
      <c r="L267" s="6"/>
    </row>
    <row r="268">
      <c r="B268" s="8"/>
      <c r="C268" s="8"/>
      <c r="G268" s="6"/>
      <c r="H268" s="6"/>
      <c r="I268" s="6"/>
      <c r="J268" s="6"/>
      <c r="K268" s="6"/>
      <c r="L268" s="6"/>
    </row>
    <row r="269">
      <c r="B269" s="8"/>
      <c r="C269" s="8"/>
      <c r="G269" s="6"/>
      <c r="H269" s="6"/>
      <c r="I269" s="6"/>
      <c r="J269" s="6"/>
      <c r="K269" s="6"/>
      <c r="L269" s="6"/>
    </row>
    <row r="270">
      <c r="B270" s="8"/>
      <c r="C270" s="8"/>
      <c r="G270" s="6"/>
      <c r="H270" s="6"/>
      <c r="I270" s="6"/>
      <c r="J270" s="6"/>
      <c r="K270" s="6"/>
      <c r="L270" s="6"/>
    </row>
    <row r="271">
      <c r="B271" s="8"/>
      <c r="C271" s="8"/>
      <c r="G271" s="6"/>
      <c r="H271" s="6"/>
      <c r="I271" s="6"/>
      <c r="J271" s="6"/>
      <c r="K271" s="6"/>
      <c r="L271" s="6"/>
    </row>
    <row r="272">
      <c r="B272" s="8"/>
      <c r="C272" s="8"/>
      <c r="G272" s="6"/>
      <c r="H272" s="6"/>
      <c r="I272" s="6"/>
      <c r="J272" s="6"/>
      <c r="K272" s="6"/>
      <c r="L272" s="6"/>
    </row>
    <row r="273">
      <c r="B273" s="8"/>
      <c r="C273" s="8"/>
      <c r="G273" s="6"/>
      <c r="H273" s="6"/>
      <c r="I273" s="6"/>
      <c r="J273" s="6"/>
      <c r="K273" s="6"/>
      <c r="L273" s="6"/>
    </row>
    <row r="274">
      <c r="B274" s="8"/>
      <c r="C274" s="8"/>
      <c r="G274" s="6"/>
      <c r="H274" s="6"/>
      <c r="I274" s="6"/>
      <c r="J274" s="6"/>
      <c r="K274" s="6"/>
      <c r="L274" s="6"/>
    </row>
    <row r="275">
      <c r="B275" s="8"/>
      <c r="C275" s="8"/>
      <c r="G275" s="6"/>
      <c r="H275" s="6"/>
      <c r="I275" s="6"/>
      <c r="J275" s="6"/>
      <c r="K275" s="6"/>
      <c r="L275" s="6"/>
    </row>
    <row r="276">
      <c r="B276" s="8"/>
      <c r="C276" s="8"/>
      <c r="G276" s="6"/>
      <c r="H276" s="6"/>
      <c r="I276" s="6"/>
      <c r="J276" s="6"/>
      <c r="K276" s="6"/>
      <c r="L276" s="6"/>
    </row>
    <row r="277">
      <c r="B277" s="8"/>
      <c r="C277" s="8"/>
      <c r="G277" s="6"/>
      <c r="H277" s="6"/>
      <c r="I277" s="6"/>
      <c r="J277" s="6"/>
      <c r="K277" s="6"/>
      <c r="L277" s="6"/>
    </row>
    <row r="278">
      <c r="B278" s="8"/>
      <c r="C278" s="8"/>
      <c r="G278" s="6"/>
      <c r="H278" s="6"/>
      <c r="I278" s="6"/>
      <c r="J278" s="6"/>
      <c r="K278" s="6"/>
      <c r="L278" s="6"/>
    </row>
    <row r="279">
      <c r="B279" s="8"/>
      <c r="C279" s="8"/>
      <c r="G279" s="6"/>
      <c r="H279" s="6"/>
      <c r="I279" s="6"/>
      <c r="J279" s="6"/>
      <c r="K279" s="6"/>
      <c r="L279" s="6"/>
    </row>
    <row r="280">
      <c r="B280" s="8"/>
      <c r="C280" s="8"/>
      <c r="G280" s="6"/>
      <c r="H280" s="6"/>
      <c r="I280" s="6"/>
      <c r="J280" s="6"/>
      <c r="K280" s="6"/>
      <c r="L280" s="6"/>
    </row>
    <row r="281">
      <c r="B281" s="8"/>
      <c r="C281" s="8"/>
      <c r="G281" s="6"/>
      <c r="H281" s="6"/>
      <c r="I281" s="6"/>
      <c r="J281" s="6"/>
      <c r="K281" s="6"/>
      <c r="L281" s="6"/>
    </row>
    <row r="282">
      <c r="B282" s="8"/>
      <c r="C282" s="8"/>
      <c r="G282" s="6"/>
      <c r="H282" s="6"/>
      <c r="I282" s="6"/>
      <c r="J282" s="6"/>
      <c r="K282" s="6"/>
      <c r="L282" s="6"/>
    </row>
    <row r="283">
      <c r="B283" s="8"/>
      <c r="C283" s="8"/>
      <c r="G283" s="6"/>
      <c r="H283" s="6"/>
      <c r="I283" s="6"/>
      <c r="J283" s="6"/>
      <c r="K283" s="6"/>
      <c r="L283" s="6"/>
    </row>
    <row r="284">
      <c r="B284" s="8"/>
      <c r="C284" s="8"/>
      <c r="G284" s="6"/>
      <c r="H284" s="6"/>
      <c r="I284" s="6"/>
      <c r="J284" s="6"/>
      <c r="K284" s="6"/>
      <c r="L284" s="6"/>
    </row>
    <row r="285">
      <c r="B285" s="8"/>
      <c r="C285" s="8"/>
      <c r="G285" s="6"/>
      <c r="H285" s="6"/>
      <c r="I285" s="6"/>
      <c r="J285" s="6"/>
      <c r="K285" s="6"/>
      <c r="L285" s="6"/>
    </row>
    <row r="286">
      <c r="B286" s="8"/>
      <c r="C286" s="8"/>
      <c r="G286" s="6"/>
      <c r="H286" s="6"/>
      <c r="I286" s="6"/>
      <c r="J286" s="6"/>
      <c r="K286" s="6"/>
      <c r="L286" s="6"/>
    </row>
    <row r="287">
      <c r="B287" s="8"/>
      <c r="C287" s="8"/>
      <c r="G287" s="6"/>
      <c r="H287" s="6"/>
      <c r="I287" s="6"/>
      <c r="J287" s="6"/>
      <c r="K287" s="6"/>
      <c r="L287" s="6"/>
    </row>
    <row r="288">
      <c r="B288" s="8"/>
      <c r="C288" s="8"/>
      <c r="G288" s="6"/>
      <c r="H288" s="6"/>
      <c r="I288" s="6"/>
      <c r="J288" s="6"/>
      <c r="K288" s="6"/>
      <c r="L288" s="6"/>
    </row>
    <row r="289">
      <c r="B289" s="8"/>
      <c r="C289" s="8"/>
      <c r="G289" s="6"/>
      <c r="H289" s="6"/>
      <c r="I289" s="6"/>
      <c r="J289" s="6"/>
      <c r="K289" s="6"/>
      <c r="L289" s="6"/>
    </row>
    <row r="290">
      <c r="B290" s="8"/>
      <c r="C290" s="8"/>
      <c r="G290" s="6"/>
      <c r="H290" s="6"/>
      <c r="I290" s="6"/>
      <c r="J290" s="6"/>
      <c r="K290" s="6"/>
      <c r="L290" s="6"/>
    </row>
    <row r="291">
      <c r="B291" s="8"/>
      <c r="C291" s="8"/>
      <c r="G291" s="6"/>
      <c r="H291" s="6"/>
      <c r="I291" s="6"/>
      <c r="J291" s="6"/>
      <c r="K291" s="6"/>
      <c r="L291" s="6"/>
    </row>
    <row r="292">
      <c r="B292" s="8"/>
      <c r="C292" s="8"/>
      <c r="G292" s="6"/>
      <c r="H292" s="6"/>
      <c r="I292" s="6"/>
      <c r="J292" s="6"/>
      <c r="K292" s="6"/>
      <c r="L292" s="6"/>
    </row>
    <row r="293">
      <c r="B293" s="8"/>
      <c r="C293" s="8"/>
      <c r="G293" s="6"/>
      <c r="H293" s="6"/>
      <c r="I293" s="6"/>
      <c r="J293" s="6"/>
      <c r="K293" s="6"/>
      <c r="L293" s="6"/>
    </row>
    <row r="294">
      <c r="B294" s="8"/>
      <c r="C294" s="8"/>
      <c r="G294" s="6"/>
      <c r="H294" s="6"/>
      <c r="I294" s="6"/>
      <c r="J294" s="6"/>
      <c r="K294" s="6"/>
      <c r="L294" s="6"/>
    </row>
    <row r="295">
      <c r="B295" s="8"/>
      <c r="C295" s="8"/>
      <c r="G295" s="6"/>
      <c r="H295" s="6"/>
      <c r="I295" s="6"/>
      <c r="J295" s="6"/>
      <c r="K295" s="6"/>
      <c r="L295" s="6"/>
    </row>
    <row r="296">
      <c r="B296" s="8"/>
      <c r="C296" s="8"/>
      <c r="G296" s="6"/>
      <c r="H296" s="6"/>
      <c r="I296" s="6"/>
      <c r="J296" s="6"/>
      <c r="K296" s="6"/>
      <c r="L296" s="6"/>
    </row>
    <row r="297">
      <c r="B297" s="8"/>
      <c r="C297" s="8"/>
      <c r="G297" s="6"/>
      <c r="H297" s="6"/>
      <c r="I297" s="6"/>
      <c r="J297" s="6"/>
      <c r="K297" s="6"/>
      <c r="L297" s="6"/>
    </row>
    <row r="298">
      <c r="B298" s="8"/>
      <c r="C298" s="8"/>
      <c r="G298" s="6"/>
      <c r="H298" s="6"/>
      <c r="I298" s="6"/>
      <c r="J298" s="6"/>
      <c r="K298" s="6"/>
      <c r="L298" s="6"/>
    </row>
    <row r="299">
      <c r="B299" s="8"/>
      <c r="C299" s="8"/>
      <c r="G299" s="6"/>
      <c r="H299" s="6"/>
      <c r="I299" s="6"/>
      <c r="J299" s="6"/>
      <c r="K299" s="6"/>
      <c r="L299" s="6"/>
    </row>
    <row r="300">
      <c r="B300" s="8"/>
      <c r="C300" s="8"/>
      <c r="G300" s="6"/>
      <c r="H300" s="6"/>
      <c r="I300" s="6"/>
      <c r="J300" s="6"/>
      <c r="K300" s="6"/>
      <c r="L300" s="6"/>
    </row>
    <row r="301">
      <c r="B301" s="8"/>
      <c r="C301" s="8"/>
      <c r="G301" s="6"/>
      <c r="H301" s="6"/>
      <c r="I301" s="6"/>
      <c r="J301" s="6"/>
      <c r="K301" s="6"/>
      <c r="L301" s="6"/>
    </row>
    <row r="302">
      <c r="B302" s="8"/>
      <c r="C302" s="8"/>
      <c r="G302" s="6"/>
      <c r="H302" s="6"/>
      <c r="I302" s="6"/>
      <c r="J302" s="6"/>
      <c r="K302" s="6"/>
      <c r="L302" s="6"/>
    </row>
    <row r="303">
      <c r="B303" s="8"/>
      <c r="C303" s="8"/>
      <c r="G303" s="6"/>
      <c r="H303" s="6"/>
      <c r="I303" s="6"/>
      <c r="J303" s="6"/>
      <c r="K303" s="6"/>
      <c r="L303" s="6"/>
    </row>
    <row r="304">
      <c r="B304" s="8"/>
      <c r="C304" s="8"/>
      <c r="G304" s="6"/>
      <c r="H304" s="6"/>
      <c r="I304" s="6"/>
      <c r="J304" s="6"/>
      <c r="K304" s="6"/>
      <c r="L304" s="6"/>
    </row>
    <row r="305">
      <c r="B305" s="8"/>
      <c r="C305" s="8"/>
      <c r="G305" s="6"/>
      <c r="H305" s="6"/>
      <c r="I305" s="6"/>
      <c r="J305" s="6"/>
      <c r="K305" s="6"/>
      <c r="L305" s="6"/>
    </row>
    <row r="306">
      <c r="B306" s="8"/>
      <c r="C306" s="8"/>
      <c r="G306" s="6"/>
      <c r="H306" s="6"/>
      <c r="I306" s="6"/>
      <c r="J306" s="6"/>
      <c r="K306" s="6"/>
      <c r="L306" s="6"/>
    </row>
    <row r="307">
      <c r="B307" s="8"/>
      <c r="C307" s="8"/>
      <c r="G307" s="6"/>
      <c r="H307" s="6"/>
      <c r="I307" s="6"/>
      <c r="J307" s="6"/>
      <c r="K307" s="6"/>
      <c r="L307" s="6"/>
    </row>
    <row r="308">
      <c r="B308" s="8"/>
      <c r="C308" s="8"/>
      <c r="G308" s="6"/>
      <c r="H308" s="6"/>
      <c r="I308" s="6"/>
      <c r="J308" s="6"/>
      <c r="K308" s="6"/>
      <c r="L308" s="6"/>
    </row>
    <row r="309">
      <c r="B309" s="8"/>
      <c r="C309" s="8"/>
      <c r="G309" s="6"/>
      <c r="H309" s="6"/>
      <c r="I309" s="6"/>
      <c r="J309" s="6"/>
      <c r="K309" s="6"/>
      <c r="L309" s="6"/>
    </row>
    <row r="310">
      <c r="B310" s="8"/>
      <c r="C310" s="8"/>
      <c r="G310" s="6"/>
      <c r="H310" s="6"/>
      <c r="I310" s="6"/>
      <c r="J310" s="6"/>
      <c r="K310" s="6"/>
      <c r="L310" s="6"/>
    </row>
    <row r="311">
      <c r="B311" s="8"/>
      <c r="C311" s="8"/>
      <c r="G311" s="6"/>
      <c r="H311" s="6"/>
      <c r="I311" s="6"/>
      <c r="J311" s="6"/>
      <c r="K311" s="6"/>
      <c r="L311" s="6"/>
    </row>
    <row r="312">
      <c r="B312" s="8"/>
      <c r="C312" s="8"/>
      <c r="G312" s="6"/>
      <c r="H312" s="6"/>
      <c r="I312" s="6"/>
      <c r="J312" s="6"/>
      <c r="K312" s="6"/>
      <c r="L312" s="6"/>
    </row>
    <row r="313">
      <c r="B313" s="8"/>
      <c r="C313" s="8"/>
      <c r="G313" s="6"/>
      <c r="H313" s="6"/>
      <c r="I313" s="6"/>
      <c r="J313" s="6"/>
      <c r="K313" s="6"/>
      <c r="L313" s="6"/>
    </row>
    <row r="314">
      <c r="B314" s="8"/>
      <c r="C314" s="8"/>
      <c r="G314" s="6"/>
      <c r="H314" s="6"/>
      <c r="I314" s="6"/>
      <c r="J314" s="6"/>
      <c r="K314" s="6"/>
      <c r="L314" s="6"/>
    </row>
    <row r="315">
      <c r="B315" s="8"/>
      <c r="C315" s="8"/>
      <c r="G315" s="6"/>
      <c r="H315" s="6"/>
      <c r="I315" s="6"/>
      <c r="J315" s="6"/>
      <c r="K315" s="6"/>
      <c r="L315" s="6"/>
    </row>
    <row r="316">
      <c r="B316" s="8"/>
      <c r="C316" s="8"/>
      <c r="G316" s="6"/>
      <c r="H316" s="6"/>
      <c r="I316" s="6"/>
      <c r="J316" s="6"/>
      <c r="K316" s="6"/>
      <c r="L316" s="6"/>
    </row>
    <row r="317">
      <c r="B317" s="8"/>
      <c r="C317" s="8"/>
      <c r="G317" s="6"/>
      <c r="H317" s="6"/>
      <c r="I317" s="6"/>
      <c r="J317" s="6"/>
      <c r="K317" s="6"/>
      <c r="L317" s="6"/>
    </row>
    <row r="318">
      <c r="B318" s="8"/>
      <c r="C318" s="8"/>
      <c r="G318" s="6"/>
      <c r="H318" s="6"/>
      <c r="I318" s="6"/>
      <c r="J318" s="6"/>
      <c r="K318" s="6"/>
      <c r="L318" s="6"/>
    </row>
    <row r="319">
      <c r="B319" s="8"/>
      <c r="C319" s="8"/>
      <c r="G319" s="6"/>
      <c r="H319" s="6"/>
      <c r="I319" s="6"/>
      <c r="J319" s="6"/>
      <c r="K319" s="6"/>
      <c r="L319" s="6"/>
    </row>
    <row r="320">
      <c r="B320" s="8"/>
      <c r="C320" s="8"/>
      <c r="G320" s="6"/>
      <c r="H320" s="6"/>
      <c r="I320" s="6"/>
      <c r="J320" s="6"/>
      <c r="K320" s="6"/>
      <c r="L320" s="6"/>
    </row>
    <row r="321">
      <c r="B321" s="8"/>
      <c r="C321" s="8"/>
      <c r="G321" s="6"/>
      <c r="H321" s="6"/>
      <c r="I321" s="6"/>
      <c r="J321" s="6"/>
      <c r="K321" s="6"/>
      <c r="L321" s="6"/>
    </row>
    <row r="322">
      <c r="B322" s="8"/>
      <c r="C322" s="8"/>
      <c r="G322" s="6"/>
      <c r="H322" s="6"/>
      <c r="I322" s="6"/>
      <c r="J322" s="6"/>
      <c r="K322" s="6"/>
      <c r="L322" s="6"/>
    </row>
    <row r="323">
      <c r="B323" s="8"/>
      <c r="C323" s="8"/>
      <c r="G323" s="6"/>
      <c r="H323" s="6"/>
      <c r="I323" s="6"/>
      <c r="J323" s="6"/>
      <c r="K323" s="6"/>
      <c r="L323" s="6"/>
    </row>
    <row r="324">
      <c r="B324" s="8"/>
      <c r="C324" s="8"/>
      <c r="G324" s="6"/>
      <c r="H324" s="6"/>
      <c r="I324" s="6"/>
      <c r="J324" s="6"/>
      <c r="K324" s="6"/>
      <c r="L324" s="6"/>
    </row>
    <row r="325">
      <c r="B325" s="8"/>
      <c r="C325" s="8"/>
      <c r="G325" s="6"/>
      <c r="H325" s="6"/>
      <c r="I325" s="6"/>
      <c r="J325" s="6"/>
      <c r="K325" s="6"/>
      <c r="L325" s="6"/>
    </row>
    <row r="326">
      <c r="B326" s="8"/>
      <c r="C326" s="8"/>
      <c r="G326" s="6"/>
      <c r="H326" s="6"/>
      <c r="I326" s="6"/>
      <c r="J326" s="6"/>
      <c r="K326" s="6"/>
      <c r="L326" s="6"/>
    </row>
    <row r="327">
      <c r="B327" s="8"/>
      <c r="C327" s="8"/>
      <c r="G327" s="6"/>
      <c r="H327" s="6"/>
      <c r="I327" s="6"/>
      <c r="J327" s="6"/>
      <c r="K327" s="6"/>
      <c r="L327" s="6"/>
    </row>
    <row r="328">
      <c r="B328" s="8"/>
      <c r="C328" s="8"/>
      <c r="G328" s="6"/>
      <c r="H328" s="6"/>
      <c r="I328" s="6"/>
      <c r="J328" s="6"/>
      <c r="K328" s="6"/>
      <c r="L328" s="6"/>
    </row>
    <row r="329">
      <c r="B329" s="8"/>
      <c r="C329" s="8"/>
      <c r="G329" s="6"/>
      <c r="H329" s="6"/>
      <c r="I329" s="6"/>
      <c r="J329" s="6"/>
      <c r="K329" s="6"/>
      <c r="L329" s="6"/>
    </row>
    <row r="330">
      <c r="B330" s="8"/>
      <c r="C330" s="8"/>
      <c r="G330" s="6"/>
      <c r="H330" s="6"/>
      <c r="I330" s="6"/>
      <c r="J330" s="6"/>
      <c r="K330" s="6"/>
      <c r="L330" s="6"/>
    </row>
    <row r="331">
      <c r="B331" s="8"/>
      <c r="C331" s="8"/>
      <c r="G331" s="6"/>
      <c r="H331" s="6"/>
      <c r="I331" s="6"/>
      <c r="J331" s="6"/>
      <c r="K331" s="6"/>
      <c r="L331" s="6"/>
    </row>
    <row r="332">
      <c r="B332" s="8"/>
      <c r="C332" s="8"/>
      <c r="G332" s="6"/>
      <c r="H332" s="6"/>
      <c r="I332" s="6"/>
      <c r="J332" s="6"/>
      <c r="K332" s="6"/>
      <c r="L332" s="6"/>
    </row>
    <row r="333">
      <c r="B333" s="8"/>
      <c r="C333" s="8"/>
      <c r="G333" s="6"/>
      <c r="H333" s="6"/>
      <c r="I333" s="6"/>
      <c r="J333" s="6"/>
      <c r="K333" s="6"/>
      <c r="L333" s="6"/>
    </row>
    <row r="334">
      <c r="B334" s="8"/>
      <c r="C334" s="8"/>
      <c r="G334" s="6"/>
      <c r="H334" s="6"/>
      <c r="I334" s="6"/>
      <c r="J334" s="6"/>
      <c r="K334" s="6"/>
      <c r="L334" s="6"/>
    </row>
    <row r="335">
      <c r="B335" s="8"/>
      <c r="C335" s="8"/>
      <c r="G335" s="6"/>
      <c r="H335" s="6"/>
      <c r="I335" s="6"/>
      <c r="J335" s="6"/>
      <c r="K335" s="6"/>
      <c r="L335" s="6"/>
    </row>
    <row r="336">
      <c r="B336" s="8"/>
      <c r="C336" s="8"/>
      <c r="G336" s="6"/>
      <c r="H336" s="6"/>
      <c r="I336" s="6"/>
      <c r="J336" s="6"/>
      <c r="K336" s="6"/>
      <c r="L336" s="6"/>
    </row>
    <row r="337">
      <c r="B337" s="8"/>
      <c r="C337" s="8"/>
      <c r="G337" s="6"/>
      <c r="H337" s="6"/>
      <c r="I337" s="6"/>
      <c r="J337" s="6"/>
      <c r="K337" s="6"/>
      <c r="L337" s="6"/>
    </row>
    <row r="338">
      <c r="B338" s="8"/>
      <c r="C338" s="8"/>
      <c r="G338" s="6"/>
      <c r="H338" s="6"/>
      <c r="I338" s="6"/>
      <c r="J338" s="6"/>
      <c r="K338" s="6"/>
      <c r="L338" s="6"/>
    </row>
    <row r="339">
      <c r="B339" s="8"/>
      <c r="C339" s="8"/>
      <c r="G339" s="6"/>
      <c r="H339" s="6"/>
      <c r="I339" s="6"/>
      <c r="J339" s="6"/>
      <c r="K339" s="6"/>
      <c r="L339" s="6"/>
    </row>
    <row r="340">
      <c r="B340" s="8"/>
      <c r="C340" s="8"/>
      <c r="G340" s="6"/>
      <c r="H340" s="6"/>
      <c r="I340" s="6"/>
      <c r="J340" s="6"/>
      <c r="K340" s="6"/>
      <c r="L340" s="6"/>
    </row>
    <row r="341">
      <c r="B341" s="8"/>
      <c r="C341" s="8"/>
      <c r="G341" s="6"/>
      <c r="H341" s="6"/>
      <c r="I341" s="6"/>
      <c r="J341" s="6"/>
      <c r="K341" s="6"/>
      <c r="L341" s="6"/>
    </row>
    <row r="342">
      <c r="B342" s="8"/>
      <c r="C342" s="8"/>
      <c r="G342" s="6"/>
      <c r="H342" s="6"/>
      <c r="I342" s="6"/>
      <c r="J342" s="6"/>
      <c r="K342" s="6"/>
      <c r="L342" s="6"/>
    </row>
    <row r="343">
      <c r="B343" s="8"/>
      <c r="C343" s="8"/>
      <c r="G343" s="6"/>
      <c r="H343" s="6"/>
      <c r="I343" s="6"/>
      <c r="J343" s="6"/>
      <c r="K343" s="6"/>
      <c r="L343" s="6"/>
    </row>
    <row r="344">
      <c r="B344" s="8"/>
      <c r="C344" s="8"/>
      <c r="G344" s="6"/>
      <c r="H344" s="6"/>
      <c r="I344" s="6"/>
      <c r="J344" s="6"/>
      <c r="K344" s="6"/>
      <c r="L344" s="6"/>
    </row>
    <row r="345">
      <c r="B345" s="8"/>
      <c r="C345" s="8"/>
      <c r="G345" s="6"/>
      <c r="H345" s="6"/>
      <c r="I345" s="6"/>
      <c r="J345" s="6"/>
      <c r="K345" s="6"/>
      <c r="L345" s="6"/>
    </row>
    <row r="346">
      <c r="B346" s="8"/>
      <c r="C346" s="8"/>
      <c r="G346" s="6"/>
      <c r="H346" s="6"/>
      <c r="I346" s="6"/>
      <c r="J346" s="6"/>
      <c r="K346" s="6"/>
      <c r="L346" s="6"/>
    </row>
    <row r="347">
      <c r="B347" s="8"/>
      <c r="C347" s="8"/>
      <c r="G347" s="6"/>
      <c r="H347" s="6"/>
      <c r="I347" s="6"/>
      <c r="J347" s="6"/>
      <c r="K347" s="6"/>
      <c r="L347" s="6"/>
    </row>
    <row r="348">
      <c r="B348" s="8"/>
      <c r="C348" s="8"/>
      <c r="G348" s="6"/>
      <c r="H348" s="6"/>
      <c r="I348" s="6"/>
      <c r="J348" s="6"/>
      <c r="K348" s="6"/>
      <c r="L348" s="6"/>
    </row>
    <row r="349">
      <c r="B349" s="8"/>
      <c r="C349" s="8"/>
      <c r="G349" s="6"/>
      <c r="H349" s="6"/>
      <c r="I349" s="6"/>
      <c r="J349" s="6"/>
      <c r="K349" s="6"/>
      <c r="L349" s="6"/>
    </row>
    <row r="350">
      <c r="B350" s="8"/>
      <c r="C350" s="8"/>
      <c r="G350" s="6"/>
      <c r="H350" s="6"/>
      <c r="I350" s="6"/>
      <c r="J350" s="6"/>
      <c r="K350" s="6"/>
      <c r="L350" s="6"/>
    </row>
    <row r="351">
      <c r="B351" s="8"/>
      <c r="C351" s="8"/>
      <c r="G351" s="6"/>
      <c r="H351" s="6"/>
      <c r="I351" s="6"/>
      <c r="J351" s="6"/>
      <c r="K351" s="6"/>
      <c r="L351" s="6"/>
    </row>
    <row r="352">
      <c r="B352" s="8"/>
      <c r="C352" s="8"/>
      <c r="G352" s="6"/>
      <c r="H352" s="6"/>
      <c r="I352" s="6"/>
      <c r="J352" s="6"/>
      <c r="K352" s="6"/>
      <c r="L352" s="6"/>
    </row>
    <row r="353">
      <c r="B353" s="8"/>
      <c r="C353" s="8"/>
      <c r="G353" s="6"/>
      <c r="H353" s="6"/>
      <c r="I353" s="6"/>
      <c r="J353" s="6"/>
      <c r="K353" s="6"/>
      <c r="L353" s="6"/>
    </row>
    <row r="354">
      <c r="B354" s="8"/>
      <c r="C354" s="8"/>
      <c r="G354" s="6"/>
      <c r="H354" s="6"/>
      <c r="I354" s="6"/>
      <c r="J354" s="6"/>
      <c r="K354" s="6"/>
      <c r="L354" s="6"/>
    </row>
    <row r="355">
      <c r="B355" s="8"/>
      <c r="C355" s="8"/>
      <c r="G355" s="6"/>
      <c r="H355" s="6"/>
      <c r="I355" s="6"/>
      <c r="J355" s="6"/>
      <c r="K355" s="6"/>
      <c r="L355" s="6"/>
    </row>
    <row r="356">
      <c r="B356" s="8"/>
      <c r="C356" s="8"/>
      <c r="G356" s="6"/>
      <c r="H356" s="6"/>
      <c r="I356" s="6"/>
      <c r="J356" s="6"/>
      <c r="K356" s="6"/>
      <c r="L356" s="6"/>
    </row>
    <row r="357">
      <c r="B357" s="8"/>
      <c r="C357" s="8"/>
      <c r="G357" s="6"/>
      <c r="H357" s="6"/>
      <c r="I357" s="6"/>
      <c r="J357" s="6"/>
      <c r="K357" s="6"/>
      <c r="L357" s="6"/>
    </row>
    <row r="358">
      <c r="B358" s="8"/>
      <c r="C358" s="8"/>
      <c r="G358" s="6"/>
      <c r="H358" s="6"/>
      <c r="I358" s="6"/>
      <c r="J358" s="6"/>
      <c r="K358" s="6"/>
      <c r="L358" s="6"/>
    </row>
    <row r="359">
      <c r="B359" s="8"/>
      <c r="C359" s="8"/>
      <c r="G359" s="6"/>
      <c r="H359" s="6"/>
      <c r="I359" s="6"/>
      <c r="J359" s="6"/>
      <c r="K359" s="6"/>
      <c r="L359" s="6"/>
    </row>
    <row r="360">
      <c r="B360" s="8"/>
      <c r="C360" s="8"/>
      <c r="G360" s="6"/>
      <c r="H360" s="6"/>
      <c r="I360" s="6"/>
      <c r="J360" s="6"/>
      <c r="K360" s="6"/>
      <c r="L360" s="6"/>
    </row>
    <row r="361">
      <c r="B361" s="8"/>
      <c r="C361" s="8"/>
      <c r="G361" s="6"/>
      <c r="H361" s="6"/>
      <c r="I361" s="6"/>
      <c r="J361" s="6"/>
      <c r="K361" s="6"/>
      <c r="L361" s="6"/>
    </row>
    <row r="362">
      <c r="B362" s="8"/>
      <c r="C362" s="8"/>
      <c r="G362" s="6"/>
      <c r="H362" s="6"/>
      <c r="I362" s="6"/>
      <c r="J362" s="6"/>
      <c r="K362" s="6"/>
      <c r="L362" s="6"/>
    </row>
    <row r="363">
      <c r="B363" s="8"/>
      <c r="C363" s="8"/>
      <c r="G363" s="6"/>
      <c r="H363" s="6"/>
      <c r="I363" s="6"/>
      <c r="J363" s="6"/>
      <c r="K363" s="6"/>
      <c r="L363" s="6"/>
    </row>
    <row r="364">
      <c r="B364" s="8"/>
      <c r="C364" s="8"/>
      <c r="G364" s="6"/>
      <c r="H364" s="6"/>
      <c r="I364" s="6"/>
      <c r="J364" s="6"/>
      <c r="K364" s="6"/>
      <c r="L364" s="6"/>
    </row>
    <row r="365">
      <c r="B365" s="8"/>
      <c r="C365" s="8"/>
      <c r="G365" s="6"/>
      <c r="H365" s="6"/>
      <c r="I365" s="6"/>
      <c r="J365" s="6"/>
      <c r="K365" s="6"/>
      <c r="L365" s="6"/>
    </row>
    <row r="366">
      <c r="B366" s="8"/>
      <c r="C366" s="8"/>
      <c r="G366" s="6"/>
      <c r="H366" s="6"/>
      <c r="I366" s="6"/>
      <c r="J366" s="6"/>
      <c r="K366" s="6"/>
      <c r="L366" s="6"/>
    </row>
    <row r="367">
      <c r="B367" s="8"/>
      <c r="C367" s="8"/>
      <c r="G367" s="6"/>
      <c r="H367" s="6"/>
      <c r="I367" s="6"/>
      <c r="J367" s="6"/>
      <c r="K367" s="6"/>
      <c r="L367" s="6"/>
    </row>
    <row r="368">
      <c r="B368" s="8"/>
      <c r="C368" s="8"/>
      <c r="G368" s="6"/>
      <c r="H368" s="6"/>
      <c r="I368" s="6"/>
      <c r="J368" s="6"/>
      <c r="K368" s="6"/>
      <c r="L368" s="6"/>
    </row>
    <row r="369">
      <c r="B369" s="8"/>
      <c r="C369" s="8"/>
      <c r="G369" s="6"/>
      <c r="H369" s="6"/>
      <c r="I369" s="6"/>
      <c r="J369" s="6"/>
      <c r="K369" s="6"/>
      <c r="L369" s="6"/>
    </row>
    <row r="370">
      <c r="B370" s="8"/>
      <c r="C370" s="8"/>
      <c r="G370" s="6"/>
      <c r="H370" s="6"/>
      <c r="I370" s="6"/>
      <c r="J370" s="6"/>
      <c r="K370" s="6"/>
      <c r="L370" s="6"/>
    </row>
    <row r="371">
      <c r="B371" s="8"/>
      <c r="C371" s="8"/>
      <c r="G371" s="6"/>
      <c r="H371" s="6"/>
      <c r="I371" s="6"/>
      <c r="J371" s="6"/>
      <c r="K371" s="6"/>
      <c r="L371" s="6"/>
    </row>
    <row r="372">
      <c r="B372" s="8"/>
      <c r="C372" s="8"/>
      <c r="G372" s="6"/>
      <c r="H372" s="6"/>
      <c r="I372" s="6"/>
      <c r="J372" s="6"/>
      <c r="K372" s="6"/>
      <c r="L372" s="6"/>
    </row>
    <row r="373">
      <c r="B373" s="8"/>
      <c r="C373" s="8"/>
      <c r="G373" s="6"/>
      <c r="H373" s="6"/>
      <c r="I373" s="6"/>
      <c r="J373" s="6"/>
      <c r="K373" s="6"/>
      <c r="L373" s="6"/>
    </row>
    <row r="374">
      <c r="B374" s="8"/>
      <c r="C374" s="8"/>
      <c r="G374" s="6"/>
      <c r="H374" s="6"/>
      <c r="I374" s="6"/>
      <c r="J374" s="6"/>
      <c r="K374" s="6"/>
      <c r="L374" s="6"/>
    </row>
    <row r="375">
      <c r="B375" s="8"/>
      <c r="C375" s="8"/>
      <c r="G375" s="6"/>
      <c r="H375" s="6"/>
      <c r="I375" s="6"/>
      <c r="J375" s="6"/>
      <c r="K375" s="6"/>
      <c r="L375" s="6"/>
    </row>
    <row r="376">
      <c r="B376" s="8"/>
      <c r="C376" s="8"/>
      <c r="G376" s="6"/>
      <c r="H376" s="6"/>
      <c r="I376" s="6"/>
      <c r="J376" s="6"/>
      <c r="K376" s="6"/>
      <c r="L376" s="6"/>
    </row>
    <row r="377">
      <c r="B377" s="8"/>
      <c r="C377" s="8"/>
      <c r="G377" s="6"/>
      <c r="H377" s="6"/>
      <c r="I377" s="6"/>
      <c r="J377" s="6"/>
      <c r="K377" s="6"/>
      <c r="L377" s="6"/>
    </row>
    <row r="378">
      <c r="B378" s="8"/>
      <c r="C378" s="8"/>
      <c r="G378" s="6"/>
      <c r="H378" s="6"/>
      <c r="I378" s="6"/>
      <c r="J378" s="6"/>
      <c r="K378" s="6"/>
      <c r="L378" s="6"/>
    </row>
    <row r="379">
      <c r="B379" s="8"/>
      <c r="C379" s="8"/>
      <c r="G379" s="6"/>
      <c r="H379" s="6"/>
      <c r="I379" s="6"/>
      <c r="J379" s="6"/>
      <c r="K379" s="6"/>
      <c r="L379" s="6"/>
    </row>
    <row r="380">
      <c r="B380" s="8"/>
      <c r="C380" s="8"/>
      <c r="G380" s="6"/>
      <c r="H380" s="6"/>
      <c r="I380" s="6"/>
      <c r="J380" s="6"/>
      <c r="K380" s="6"/>
      <c r="L380" s="6"/>
    </row>
    <row r="381">
      <c r="B381" s="8"/>
      <c r="C381" s="8"/>
      <c r="G381" s="6"/>
      <c r="H381" s="6"/>
      <c r="I381" s="6"/>
      <c r="J381" s="6"/>
      <c r="K381" s="6"/>
      <c r="L381" s="6"/>
    </row>
    <row r="382">
      <c r="B382" s="8"/>
      <c r="C382" s="8"/>
      <c r="G382" s="6"/>
      <c r="H382" s="6"/>
      <c r="I382" s="6"/>
      <c r="J382" s="6"/>
      <c r="K382" s="6"/>
      <c r="L382" s="6"/>
    </row>
    <row r="383">
      <c r="B383" s="8"/>
      <c r="C383" s="8"/>
      <c r="G383" s="6"/>
      <c r="H383" s="6"/>
      <c r="I383" s="6"/>
      <c r="J383" s="6"/>
      <c r="K383" s="6"/>
      <c r="L383" s="6"/>
    </row>
    <row r="384">
      <c r="B384" s="8"/>
      <c r="C384" s="8"/>
      <c r="G384" s="6"/>
      <c r="H384" s="6"/>
      <c r="I384" s="6"/>
      <c r="J384" s="6"/>
      <c r="K384" s="6"/>
      <c r="L384" s="6"/>
    </row>
    <row r="385">
      <c r="B385" s="8"/>
      <c r="C385" s="8"/>
      <c r="G385" s="6"/>
      <c r="H385" s="6"/>
      <c r="I385" s="6"/>
      <c r="J385" s="6"/>
      <c r="K385" s="6"/>
      <c r="L385" s="6"/>
    </row>
    <row r="386">
      <c r="B386" s="8"/>
      <c r="C386" s="8"/>
      <c r="G386" s="6"/>
      <c r="H386" s="6"/>
      <c r="I386" s="6"/>
      <c r="J386" s="6"/>
      <c r="K386" s="6"/>
      <c r="L386" s="6"/>
    </row>
    <row r="387">
      <c r="B387" s="8"/>
      <c r="C387" s="8"/>
      <c r="G387" s="6"/>
      <c r="H387" s="6"/>
      <c r="I387" s="6"/>
      <c r="J387" s="6"/>
      <c r="K387" s="6"/>
      <c r="L387" s="6"/>
    </row>
    <row r="388">
      <c r="B388" s="8"/>
      <c r="C388" s="8"/>
      <c r="G388" s="6"/>
      <c r="H388" s="6"/>
      <c r="I388" s="6"/>
      <c r="J388" s="6"/>
      <c r="K388" s="6"/>
      <c r="L388" s="6"/>
    </row>
    <row r="389">
      <c r="B389" s="8"/>
      <c r="C389" s="8"/>
      <c r="G389" s="6"/>
      <c r="H389" s="6"/>
      <c r="I389" s="6"/>
      <c r="J389" s="6"/>
      <c r="K389" s="6"/>
      <c r="L389" s="6"/>
    </row>
    <row r="390">
      <c r="B390" s="8"/>
      <c r="C390" s="8"/>
      <c r="G390" s="6"/>
      <c r="H390" s="6"/>
      <c r="I390" s="6"/>
      <c r="J390" s="6"/>
      <c r="K390" s="6"/>
      <c r="L390" s="6"/>
    </row>
    <row r="391">
      <c r="B391" s="8"/>
      <c r="C391" s="8"/>
      <c r="G391" s="6"/>
      <c r="H391" s="6"/>
      <c r="I391" s="6"/>
      <c r="J391" s="6"/>
      <c r="K391" s="6"/>
      <c r="L391" s="6"/>
    </row>
    <row r="392">
      <c r="B392" s="8"/>
      <c r="C392" s="8"/>
      <c r="G392" s="6"/>
      <c r="H392" s="6"/>
      <c r="I392" s="6"/>
      <c r="J392" s="6"/>
      <c r="K392" s="6"/>
      <c r="L392" s="6"/>
    </row>
    <row r="393">
      <c r="B393" s="8"/>
      <c r="C393" s="8"/>
      <c r="G393" s="6"/>
      <c r="H393" s="6"/>
      <c r="I393" s="6"/>
      <c r="J393" s="6"/>
      <c r="K393" s="6"/>
      <c r="L393" s="6"/>
    </row>
    <row r="394">
      <c r="B394" s="8"/>
      <c r="C394" s="8"/>
      <c r="G394" s="6"/>
      <c r="H394" s="6"/>
      <c r="I394" s="6"/>
      <c r="J394" s="6"/>
      <c r="K394" s="6"/>
      <c r="L394" s="6"/>
    </row>
    <row r="395">
      <c r="B395" s="8"/>
      <c r="C395" s="8"/>
      <c r="G395" s="6"/>
      <c r="H395" s="6"/>
      <c r="I395" s="6"/>
      <c r="J395" s="6"/>
      <c r="K395" s="6"/>
      <c r="L395" s="6"/>
    </row>
    <row r="396">
      <c r="B396" s="8"/>
      <c r="C396" s="8"/>
      <c r="G396" s="6"/>
      <c r="H396" s="6"/>
      <c r="I396" s="6"/>
      <c r="J396" s="6"/>
      <c r="K396" s="6"/>
      <c r="L396" s="6"/>
    </row>
    <row r="397">
      <c r="B397" s="8"/>
      <c r="C397" s="8"/>
      <c r="G397" s="6"/>
      <c r="H397" s="6"/>
      <c r="I397" s="6"/>
      <c r="J397" s="6"/>
      <c r="K397" s="6"/>
      <c r="L397" s="6"/>
    </row>
    <row r="398">
      <c r="B398" s="8"/>
      <c r="C398" s="8"/>
      <c r="G398" s="6"/>
      <c r="H398" s="6"/>
      <c r="I398" s="6"/>
      <c r="J398" s="6"/>
      <c r="K398" s="6"/>
      <c r="L398" s="6"/>
    </row>
    <row r="399">
      <c r="B399" s="8"/>
      <c r="C399" s="8"/>
      <c r="G399" s="6"/>
      <c r="H399" s="6"/>
      <c r="I399" s="6"/>
      <c r="J399" s="6"/>
      <c r="K399" s="6"/>
      <c r="L399" s="6"/>
    </row>
    <row r="400">
      <c r="B400" s="8"/>
      <c r="C400" s="8"/>
      <c r="G400" s="6"/>
      <c r="H400" s="6"/>
      <c r="I400" s="6"/>
      <c r="J400" s="6"/>
      <c r="K400" s="6"/>
      <c r="L400" s="6"/>
    </row>
    <row r="401">
      <c r="B401" s="8"/>
      <c r="C401" s="8"/>
      <c r="G401" s="6"/>
      <c r="H401" s="6"/>
      <c r="I401" s="6"/>
      <c r="J401" s="6"/>
      <c r="K401" s="6"/>
      <c r="L401" s="6"/>
    </row>
    <row r="402">
      <c r="B402" s="8"/>
      <c r="C402" s="8"/>
      <c r="G402" s="6"/>
      <c r="H402" s="6"/>
      <c r="I402" s="6"/>
      <c r="J402" s="6"/>
      <c r="K402" s="6"/>
      <c r="L402" s="6"/>
    </row>
    <row r="403">
      <c r="B403" s="8"/>
      <c r="C403" s="8"/>
      <c r="G403" s="6"/>
      <c r="H403" s="6"/>
      <c r="I403" s="6"/>
      <c r="J403" s="6"/>
      <c r="K403" s="6"/>
      <c r="L403" s="6"/>
    </row>
    <row r="404">
      <c r="B404" s="8"/>
      <c r="C404" s="8"/>
      <c r="G404" s="6"/>
      <c r="H404" s="6"/>
      <c r="I404" s="6"/>
      <c r="J404" s="6"/>
      <c r="K404" s="6"/>
      <c r="L404" s="6"/>
    </row>
    <row r="405">
      <c r="B405" s="8"/>
      <c r="C405" s="8"/>
      <c r="G405" s="6"/>
      <c r="H405" s="6"/>
      <c r="I405" s="6"/>
      <c r="J405" s="6"/>
      <c r="K405" s="6"/>
      <c r="L405" s="6"/>
    </row>
    <row r="406">
      <c r="B406" s="8"/>
      <c r="C406" s="8"/>
      <c r="G406" s="6"/>
      <c r="H406" s="6"/>
      <c r="I406" s="6"/>
      <c r="J406" s="6"/>
      <c r="K406" s="6"/>
      <c r="L406" s="6"/>
    </row>
    <row r="407">
      <c r="B407" s="8"/>
      <c r="C407" s="8"/>
      <c r="G407" s="6"/>
      <c r="H407" s="6"/>
      <c r="I407" s="6"/>
      <c r="J407" s="6"/>
      <c r="K407" s="6"/>
      <c r="L407" s="6"/>
    </row>
    <row r="408">
      <c r="B408" s="8"/>
      <c r="C408" s="8"/>
      <c r="G408" s="6"/>
      <c r="H408" s="6"/>
      <c r="I408" s="6"/>
      <c r="J408" s="6"/>
      <c r="K408" s="6"/>
      <c r="L408" s="6"/>
    </row>
    <row r="409">
      <c r="B409" s="8"/>
      <c r="C409" s="8"/>
      <c r="G409" s="6"/>
      <c r="H409" s="6"/>
      <c r="I409" s="6"/>
      <c r="J409" s="6"/>
      <c r="K409" s="6"/>
      <c r="L409" s="6"/>
    </row>
    <row r="410">
      <c r="B410" s="8"/>
      <c r="C410" s="8"/>
      <c r="G410" s="6"/>
      <c r="H410" s="6"/>
      <c r="I410" s="6"/>
      <c r="J410" s="6"/>
      <c r="K410" s="6"/>
      <c r="L410" s="6"/>
    </row>
    <row r="411">
      <c r="B411" s="8"/>
      <c r="C411" s="8"/>
      <c r="G411" s="6"/>
      <c r="H411" s="6"/>
      <c r="I411" s="6"/>
      <c r="J411" s="6"/>
      <c r="K411" s="6"/>
      <c r="L411" s="6"/>
    </row>
    <row r="412">
      <c r="B412" s="8"/>
      <c r="C412" s="8"/>
      <c r="G412" s="6"/>
      <c r="H412" s="6"/>
      <c r="I412" s="6"/>
      <c r="J412" s="6"/>
      <c r="K412" s="6"/>
      <c r="L412" s="6"/>
    </row>
    <row r="413">
      <c r="B413" s="8"/>
      <c r="C413" s="8"/>
      <c r="G413" s="6"/>
      <c r="H413" s="6"/>
      <c r="I413" s="6"/>
      <c r="J413" s="6"/>
      <c r="K413" s="6"/>
      <c r="L413" s="6"/>
    </row>
    <row r="414">
      <c r="B414" s="8"/>
      <c r="C414" s="8"/>
      <c r="G414" s="6"/>
      <c r="H414" s="6"/>
      <c r="I414" s="6"/>
      <c r="J414" s="6"/>
      <c r="K414" s="6"/>
      <c r="L414" s="6"/>
    </row>
    <row r="415">
      <c r="B415" s="8"/>
      <c r="C415" s="8"/>
      <c r="G415" s="6"/>
      <c r="H415" s="6"/>
      <c r="I415" s="6"/>
      <c r="J415" s="6"/>
      <c r="K415" s="6"/>
      <c r="L415" s="6"/>
    </row>
    <row r="416">
      <c r="B416" s="8"/>
      <c r="C416" s="8"/>
      <c r="G416" s="6"/>
      <c r="H416" s="6"/>
      <c r="I416" s="6"/>
      <c r="J416" s="6"/>
      <c r="K416" s="6"/>
      <c r="L416" s="6"/>
    </row>
    <row r="417">
      <c r="B417" s="8"/>
      <c r="C417" s="8"/>
      <c r="G417" s="6"/>
      <c r="H417" s="6"/>
      <c r="I417" s="6"/>
      <c r="J417" s="6"/>
      <c r="K417" s="6"/>
      <c r="L417" s="6"/>
    </row>
    <row r="418">
      <c r="B418" s="8"/>
      <c r="C418" s="8"/>
      <c r="G418" s="6"/>
      <c r="H418" s="6"/>
      <c r="I418" s="6"/>
      <c r="J418" s="6"/>
      <c r="K418" s="6"/>
      <c r="L418" s="6"/>
    </row>
    <row r="419">
      <c r="B419" s="8"/>
      <c r="C419" s="8"/>
      <c r="G419" s="6"/>
      <c r="H419" s="6"/>
      <c r="I419" s="6"/>
      <c r="J419" s="6"/>
      <c r="K419" s="6"/>
      <c r="L419" s="6"/>
    </row>
    <row r="420">
      <c r="B420" s="8"/>
      <c r="C420" s="8"/>
      <c r="G420" s="6"/>
      <c r="H420" s="6"/>
      <c r="I420" s="6"/>
      <c r="J420" s="6"/>
      <c r="K420" s="6"/>
      <c r="L420" s="6"/>
    </row>
    <row r="421">
      <c r="B421" s="8"/>
      <c r="C421" s="8"/>
      <c r="G421" s="6"/>
      <c r="H421" s="6"/>
      <c r="I421" s="6"/>
      <c r="J421" s="6"/>
      <c r="K421" s="6"/>
      <c r="L421" s="6"/>
    </row>
    <row r="422">
      <c r="B422" s="8"/>
      <c r="C422" s="8"/>
      <c r="G422" s="6"/>
      <c r="H422" s="6"/>
      <c r="I422" s="6"/>
      <c r="J422" s="6"/>
      <c r="K422" s="6"/>
      <c r="L422" s="6"/>
    </row>
    <row r="423">
      <c r="B423" s="8"/>
      <c r="C423" s="8"/>
      <c r="G423" s="6"/>
      <c r="H423" s="6"/>
      <c r="I423" s="6"/>
      <c r="J423" s="6"/>
      <c r="K423" s="6"/>
      <c r="L423" s="6"/>
    </row>
    <row r="424">
      <c r="B424" s="8"/>
      <c r="C424" s="8"/>
      <c r="G424" s="6"/>
      <c r="H424" s="6"/>
      <c r="I424" s="6"/>
      <c r="J424" s="6"/>
      <c r="K424" s="6"/>
      <c r="L424" s="6"/>
    </row>
    <row r="425">
      <c r="B425" s="8"/>
      <c r="C425" s="8"/>
      <c r="G425" s="6"/>
      <c r="H425" s="6"/>
      <c r="I425" s="6"/>
      <c r="J425" s="6"/>
      <c r="K425" s="6"/>
      <c r="L425" s="6"/>
    </row>
    <row r="426">
      <c r="B426" s="8"/>
      <c r="C426" s="8"/>
      <c r="G426" s="6"/>
      <c r="H426" s="6"/>
      <c r="I426" s="6"/>
      <c r="J426" s="6"/>
      <c r="K426" s="6"/>
      <c r="L426" s="6"/>
    </row>
    <row r="427">
      <c r="B427" s="8"/>
      <c r="C427" s="8"/>
      <c r="G427" s="6"/>
      <c r="H427" s="6"/>
      <c r="I427" s="6"/>
      <c r="J427" s="6"/>
      <c r="K427" s="6"/>
      <c r="L427" s="6"/>
    </row>
    <row r="428">
      <c r="B428" s="8"/>
      <c r="C428" s="8"/>
      <c r="G428" s="6"/>
      <c r="H428" s="6"/>
      <c r="I428" s="6"/>
      <c r="J428" s="6"/>
      <c r="K428" s="6"/>
      <c r="L428" s="6"/>
    </row>
    <row r="429">
      <c r="B429" s="8"/>
      <c r="C429" s="8"/>
      <c r="G429" s="6"/>
      <c r="H429" s="6"/>
      <c r="I429" s="6"/>
      <c r="J429" s="6"/>
      <c r="K429" s="6"/>
      <c r="L429" s="6"/>
    </row>
    <row r="430">
      <c r="B430" s="8"/>
      <c r="C430" s="8"/>
      <c r="G430" s="6"/>
      <c r="H430" s="6"/>
      <c r="I430" s="6"/>
      <c r="J430" s="6"/>
      <c r="K430" s="6"/>
      <c r="L430" s="6"/>
    </row>
    <row r="431">
      <c r="B431" s="8"/>
      <c r="C431" s="8"/>
      <c r="G431" s="6"/>
      <c r="H431" s="6"/>
      <c r="I431" s="6"/>
      <c r="J431" s="6"/>
      <c r="K431" s="6"/>
      <c r="L431" s="6"/>
    </row>
    <row r="432">
      <c r="B432" s="8"/>
      <c r="C432" s="8"/>
      <c r="G432" s="6"/>
      <c r="H432" s="6"/>
      <c r="I432" s="6"/>
      <c r="J432" s="6"/>
      <c r="K432" s="6"/>
      <c r="L432" s="6"/>
    </row>
    <row r="433">
      <c r="B433" s="8"/>
      <c r="C433" s="8"/>
      <c r="G433" s="6"/>
      <c r="H433" s="6"/>
      <c r="I433" s="6"/>
      <c r="J433" s="6"/>
      <c r="K433" s="6"/>
      <c r="L433" s="6"/>
    </row>
    <row r="434">
      <c r="B434" s="8"/>
      <c r="C434" s="8"/>
      <c r="G434" s="6"/>
      <c r="H434" s="6"/>
      <c r="I434" s="6"/>
      <c r="J434" s="6"/>
      <c r="K434" s="6"/>
      <c r="L434" s="6"/>
    </row>
    <row r="435">
      <c r="B435" s="8"/>
      <c r="C435" s="8"/>
      <c r="G435" s="6"/>
      <c r="H435" s="6"/>
      <c r="I435" s="6"/>
      <c r="J435" s="6"/>
      <c r="K435" s="6"/>
      <c r="L435" s="6"/>
    </row>
    <row r="436">
      <c r="B436" s="8"/>
      <c r="C436" s="8"/>
      <c r="G436" s="6"/>
      <c r="H436" s="6"/>
      <c r="I436" s="6"/>
      <c r="J436" s="6"/>
      <c r="K436" s="6"/>
      <c r="L436" s="6"/>
    </row>
    <row r="437">
      <c r="B437" s="8"/>
      <c r="C437" s="8"/>
      <c r="G437" s="6"/>
      <c r="H437" s="6"/>
      <c r="I437" s="6"/>
      <c r="J437" s="6"/>
      <c r="K437" s="6"/>
      <c r="L437" s="6"/>
    </row>
    <row r="438">
      <c r="B438" s="8"/>
      <c r="C438" s="8"/>
      <c r="G438" s="6"/>
      <c r="H438" s="6"/>
      <c r="I438" s="6"/>
      <c r="J438" s="6"/>
      <c r="K438" s="6"/>
      <c r="L438" s="6"/>
    </row>
    <row r="439">
      <c r="B439" s="8"/>
      <c r="C439" s="8"/>
      <c r="G439" s="6"/>
      <c r="H439" s="6"/>
      <c r="I439" s="6"/>
      <c r="J439" s="6"/>
      <c r="K439" s="6"/>
      <c r="L439" s="6"/>
    </row>
    <row r="440">
      <c r="B440" s="8"/>
      <c r="C440" s="8"/>
      <c r="G440" s="6"/>
      <c r="H440" s="6"/>
      <c r="I440" s="6"/>
      <c r="J440" s="6"/>
      <c r="K440" s="6"/>
      <c r="L440" s="6"/>
    </row>
    <row r="441">
      <c r="B441" s="8"/>
      <c r="C441" s="8"/>
      <c r="G441" s="6"/>
      <c r="H441" s="6"/>
      <c r="I441" s="6"/>
      <c r="J441" s="6"/>
      <c r="K441" s="6"/>
      <c r="L441" s="6"/>
    </row>
    <row r="442">
      <c r="B442" s="8"/>
      <c r="C442" s="8"/>
      <c r="G442" s="6"/>
      <c r="H442" s="6"/>
      <c r="I442" s="6"/>
      <c r="J442" s="6"/>
      <c r="K442" s="6"/>
      <c r="L442" s="6"/>
    </row>
    <row r="443">
      <c r="B443" s="8"/>
      <c r="C443" s="8"/>
      <c r="G443" s="6"/>
      <c r="H443" s="6"/>
      <c r="I443" s="6"/>
      <c r="J443" s="6"/>
      <c r="K443" s="6"/>
      <c r="L443" s="6"/>
    </row>
    <row r="444">
      <c r="B444" s="8"/>
      <c r="C444" s="8"/>
      <c r="G444" s="6"/>
      <c r="H444" s="6"/>
      <c r="I444" s="6"/>
      <c r="J444" s="6"/>
      <c r="K444" s="6"/>
      <c r="L444" s="6"/>
    </row>
    <row r="445">
      <c r="B445" s="8"/>
      <c r="C445" s="8"/>
      <c r="G445" s="6"/>
      <c r="H445" s="6"/>
      <c r="I445" s="6"/>
      <c r="J445" s="6"/>
      <c r="K445" s="6"/>
      <c r="L445" s="6"/>
    </row>
    <row r="446">
      <c r="B446" s="8"/>
      <c r="C446" s="8"/>
      <c r="G446" s="6"/>
      <c r="H446" s="6"/>
      <c r="I446" s="6"/>
      <c r="J446" s="6"/>
      <c r="K446" s="6"/>
      <c r="L446" s="6"/>
    </row>
    <row r="447">
      <c r="B447" s="8"/>
      <c r="C447" s="8"/>
      <c r="G447" s="6"/>
      <c r="H447" s="6"/>
      <c r="I447" s="6"/>
      <c r="J447" s="6"/>
      <c r="K447" s="6"/>
      <c r="L447" s="6"/>
    </row>
    <row r="448">
      <c r="B448" s="8"/>
      <c r="C448" s="8"/>
      <c r="G448" s="6"/>
      <c r="H448" s="6"/>
      <c r="I448" s="6"/>
      <c r="J448" s="6"/>
      <c r="K448" s="6"/>
      <c r="L448" s="6"/>
    </row>
    <row r="449">
      <c r="B449" s="8"/>
      <c r="C449" s="8"/>
      <c r="G449" s="6"/>
      <c r="H449" s="6"/>
      <c r="I449" s="6"/>
      <c r="J449" s="6"/>
      <c r="K449" s="6"/>
      <c r="L449" s="6"/>
    </row>
    <row r="450">
      <c r="B450" s="8"/>
      <c r="C450" s="8"/>
      <c r="G450" s="6"/>
      <c r="H450" s="6"/>
      <c r="I450" s="6"/>
      <c r="J450" s="6"/>
      <c r="K450" s="6"/>
      <c r="L450" s="6"/>
    </row>
    <row r="451">
      <c r="B451" s="8"/>
      <c r="C451" s="8"/>
      <c r="G451" s="6"/>
      <c r="H451" s="6"/>
      <c r="I451" s="6"/>
      <c r="J451" s="6"/>
      <c r="K451" s="6"/>
      <c r="L451" s="6"/>
    </row>
    <row r="452">
      <c r="B452" s="8"/>
      <c r="C452" s="8"/>
      <c r="G452" s="6"/>
      <c r="H452" s="6"/>
      <c r="I452" s="6"/>
      <c r="J452" s="6"/>
      <c r="K452" s="6"/>
      <c r="L452" s="6"/>
    </row>
    <row r="453">
      <c r="B453" s="8"/>
      <c r="C453" s="8"/>
      <c r="G453" s="6"/>
      <c r="H453" s="6"/>
      <c r="I453" s="6"/>
      <c r="J453" s="6"/>
      <c r="K453" s="6"/>
      <c r="L453" s="6"/>
    </row>
    <row r="454">
      <c r="B454" s="8"/>
      <c r="C454" s="8"/>
      <c r="G454" s="6"/>
      <c r="H454" s="6"/>
      <c r="I454" s="6"/>
      <c r="J454" s="6"/>
      <c r="K454" s="6"/>
      <c r="L454" s="6"/>
    </row>
    <row r="455">
      <c r="B455" s="8"/>
      <c r="C455" s="8"/>
      <c r="G455" s="6"/>
      <c r="H455" s="6"/>
      <c r="I455" s="6"/>
      <c r="J455" s="6"/>
      <c r="K455" s="6"/>
      <c r="L455" s="6"/>
    </row>
    <row r="456">
      <c r="B456" s="8"/>
      <c r="C456" s="8"/>
      <c r="G456" s="6"/>
      <c r="H456" s="6"/>
      <c r="I456" s="6"/>
      <c r="J456" s="6"/>
      <c r="K456" s="6"/>
      <c r="L456" s="6"/>
    </row>
    <row r="457">
      <c r="B457" s="8"/>
      <c r="C457" s="8"/>
      <c r="G457" s="6"/>
      <c r="H457" s="6"/>
      <c r="I457" s="6"/>
      <c r="J457" s="6"/>
      <c r="K457" s="6"/>
      <c r="L457" s="6"/>
    </row>
    <row r="458">
      <c r="B458" s="8"/>
      <c r="C458" s="8"/>
      <c r="G458" s="6"/>
      <c r="H458" s="6"/>
      <c r="I458" s="6"/>
      <c r="J458" s="6"/>
      <c r="K458" s="6"/>
      <c r="L458" s="6"/>
    </row>
    <row r="459">
      <c r="B459" s="8"/>
      <c r="C459" s="8"/>
      <c r="G459" s="6"/>
      <c r="H459" s="6"/>
      <c r="I459" s="6"/>
      <c r="J459" s="6"/>
      <c r="K459" s="6"/>
      <c r="L459" s="6"/>
    </row>
    <row r="460">
      <c r="B460" s="8"/>
      <c r="C460" s="8"/>
      <c r="G460" s="6"/>
      <c r="H460" s="6"/>
      <c r="I460" s="6"/>
      <c r="J460" s="6"/>
      <c r="K460" s="6"/>
      <c r="L460" s="6"/>
    </row>
    <row r="461">
      <c r="B461" s="8"/>
      <c r="C461" s="8"/>
      <c r="G461" s="6"/>
      <c r="H461" s="6"/>
      <c r="I461" s="6"/>
      <c r="J461" s="6"/>
      <c r="K461" s="6"/>
      <c r="L461" s="6"/>
    </row>
    <row r="462">
      <c r="B462" s="8"/>
      <c r="C462" s="8"/>
      <c r="G462" s="6"/>
      <c r="H462" s="6"/>
      <c r="I462" s="6"/>
      <c r="J462" s="6"/>
      <c r="K462" s="6"/>
      <c r="L462" s="6"/>
    </row>
    <row r="463">
      <c r="B463" s="8"/>
      <c r="C463" s="8"/>
      <c r="G463" s="6"/>
      <c r="H463" s="6"/>
      <c r="I463" s="6"/>
      <c r="J463" s="6"/>
      <c r="K463" s="6"/>
      <c r="L463" s="6"/>
    </row>
    <row r="464">
      <c r="B464" s="8"/>
      <c r="C464" s="8"/>
      <c r="G464" s="6"/>
      <c r="H464" s="6"/>
      <c r="I464" s="6"/>
      <c r="J464" s="6"/>
      <c r="K464" s="6"/>
      <c r="L464" s="6"/>
    </row>
    <row r="465">
      <c r="B465" s="8"/>
      <c r="C465" s="8"/>
      <c r="G465" s="6"/>
      <c r="H465" s="6"/>
      <c r="I465" s="6"/>
      <c r="J465" s="6"/>
      <c r="K465" s="6"/>
      <c r="L465" s="6"/>
    </row>
    <row r="466">
      <c r="B466" s="8"/>
      <c r="C466" s="8"/>
      <c r="G466" s="6"/>
      <c r="H466" s="6"/>
      <c r="I466" s="6"/>
      <c r="J466" s="6"/>
      <c r="K466" s="6"/>
      <c r="L466" s="6"/>
    </row>
    <row r="467">
      <c r="B467" s="8"/>
      <c r="C467" s="8"/>
      <c r="G467" s="6"/>
      <c r="H467" s="6"/>
      <c r="I467" s="6"/>
      <c r="J467" s="6"/>
      <c r="K467" s="6"/>
      <c r="L467" s="6"/>
    </row>
    <row r="468">
      <c r="B468" s="8"/>
      <c r="C468" s="8"/>
      <c r="G468" s="6"/>
      <c r="H468" s="6"/>
      <c r="I468" s="6"/>
      <c r="J468" s="6"/>
      <c r="K468" s="6"/>
      <c r="L468" s="6"/>
    </row>
    <row r="469">
      <c r="B469" s="8"/>
      <c r="C469" s="8"/>
      <c r="G469" s="6"/>
      <c r="H469" s="6"/>
      <c r="I469" s="6"/>
      <c r="J469" s="6"/>
      <c r="K469" s="6"/>
      <c r="L469" s="6"/>
    </row>
    <row r="470">
      <c r="B470" s="8"/>
      <c r="C470" s="8"/>
      <c r="G470" s="6"/>
      <c r="H470" s="6"/>
      <c r="I470" s="6"/>
      <c r="J470" s="6"/>
      <c r="K470" s="6"/>
      <c r="L470" s="6"/>
    </row>
    <row r="471">
      <c r="B471" s="8"/>
      <c r="C471" s="8"/>
      <c r="G471" s="6"/>
      <c r="H471" s="6"/>
      <c r="I471" s="6"/>
      <c r="J471" s="6"/>
      <c r="K471" s="6"/>
      <c r="L471" s="6"/>
    </row>
    <row r="472">
      <c r="B472" s="8"/>
      <c r="C472" s="8"/>
      <c r="G472" s="6"/>
      <c r="H472" s="6"/>
      <c r="I472" s="6"/>
      <c r="J472" s="6"/>
      <c r="K472" s="6"/>
      <c r="L472" s="6"/>
    </row>
    <row r="473">
      <c r="B473" s="8"/>
      <c r="C473" s="8"/>
      <c r="G473" s="6"/>
      <c r="H473" s="6"/>
      <c r="I473" s="6"/>
      <c r="J473" s="6"/>
      <c r="K473" s="6"/>
      <c r="L473" s="6"/>
    </row>
    <row r="474">
      <c r="B474" s="8"/>
      <c r="C474" s="8"/>
      <c r="G474" s="6"/>
      <c r="H474" s="6"/>
      <c r="I474" s="6"/>
      <c r="J474" s="6"/>
      <c r="K474" s="6"/>
      <c r="L474" s="6"/>
    </row>
    <row r="475">
      <c r="B475" s="8"/>
      <c r="C475" s="8"/>
      <c r="G475" s="6"/>
      <c r="H475" s="6"/>
      <c r="I475" s="6"/>
      <c r="J475" s="6"/>
      <c r="K475" s="6"/>
      <c r="L475" s="6"/>
    </row>
    <row r="476">
      <c r="B476" s="8"/>
      <c r="C476" s="8"/>
      <c r="G476" s="6"/>
      <c r="H476" s="6"/>
      <c r="I476" s="6"/>
      <c r="J476" s="6"/>
      <c r="K476" s="6"/>
      <c r="L476" s="6"/>
    </row>
    <row r="477">
      <c r="B477" s="8"/>
      <c r="C477" s="8"/>
      <c r="G477" s="6"/>
      <c r="H477" s="6"/>
      <c r="I477" s="6"/>
      <c r="J477" s="6"/>
      <c r="K477" s="6"/>
      <c r="L477" s="6"/>
    </row>
    <row r="478">
      <c r="B478" s="8"/>
      <c r="C478" s="8"/>
      <c r="G478" s="6"/>
      <c r="H478" s="6"/>
      <c r="I478" s="6"/>
      <c r="J478" s="6"/>
      <c r="K478" s="6"/>
      <c r="L478" s="6"/>
    </row>
    <row r="479">
      <c r="B479" s="8"/>
      <c r="C479" s="8"/>
      <c r="G479" s="6"/>
      <c r="H479" s="6"/>
      <c r="I479" s="6"/>
      <c r="J479" s="6"/>
      <c r="K479" s="6"/>
      <c r="L479" s="6"/>
    </row>
    <row r="480">
      <c r="B480" s="8"/>
      <c r="C480" s="8"/>
      <c r="G480" s="6"/>
      <c r="H480" s="6"/>
      <c r="I480" s="6"/>
      <c r="J480" s="6"/>
      <c r="K480" s="6"/>
      <c r="L480" s="6"/>
    </row>
    <row r="481">
      <c r="B481" s="8"/>
      <c r="C481" s="8"/>
      <c r="G481" s="6"/>
      <c r="H481" s="6"/>
      <c r="I481" s="6"/>
      <c r="J481" s="6"/>
      <c r="K481" s="6"/>
      <c r="L481" s="6"/>
    </row>
    <row r="482">
      <c r="B482" s="8"/>
      <c r="C482" s="8"/>
      <c r="G482" s="6"/>
      <c r="H482" s="6"/>
      <c r="I482" s="6"/>
      <c r="J482" s="6"/>
      <c r="K482" s="6"/>
      <c r="L482" s="6"/>
    </row>
    <row r="483">
      <c r="B483" s="8"/>
      <c r="C483" s="8"/>
      <c r="G483" s="6"/>
      <c r="H483" s="6"/>
      <c r="I483" s="6"/>
      <c r="J483" s="6"/>
      <c r="K483" s="6"/>
      <c r="L483" s="6"/>
    </row>
    <row r="484">
      <c r="B484" s="8"/>
      <c r="C484" s="8"/>
      <c r="G484" s="6"/>
      <c r="H484" s="6"/>
      <c r="I484" s="6"/>
      <c r="J484" s="6"/>
      <c r="K484" s="6"/>
      <c r="L484" s="6"/>
    </row>
    <row r="485">
      <c r="B485" s="8"/>
      <c r="C485" s="8"/>
      <c r="G485" s="6"/>
      <c r="H485" s="6"/>
      <c r="I485" s="6"/>
      <c r="J485" s="6"/>
      <c r="K485" s="6"/>
      <c r="L485" s="6"/>
    </row>
    <row r="486">
      <c r="B486" s="8"/>
      <c r="C486" s="8"/>
      <c r="G486" s="6"/>
      <c r="H486" s="6"/>
      <c r="I486" s="6"/>
      <c r="J486" s="6"/>
      <c r="K486" s="6"/>
      <c r="L486" s="6"/>
    </row>
    <row r="487">
      <c r="B487" s="8"/>
      <c r="C487" s="8"/>
      <c r="G487" s="6"/>
      <c r="H487" s="6"/>
      <c r="I487" s="6"/>
      <c r="J487" s="6"/>
      <c r="K487" s="6"/>
      <c r="L487" s="6"/>
    </row>
    <row r="488">
      <c r="B488" s="8"/>
      <c r="C488" s="8"/>
      <c r="G488" s="6"/>
      <c r="H488" s="6"/>
      <c r="I488" s="6"/>
      <c r="J488" s="6"/>
      <c r="K488" s="6"/>
      <c r="L488" s="6"/>
    </row>
    <row r="489">
      <c r="B489" s="8"/>
      <c r="C489" s="8"/>
      <c r="G489" s="6"/>
      <c r="H489" s="6"/>
      <c r="I489" s="6"/>
      <c r="J489" s="6"/>
      <c r="K489" s="6"/>
      <c r="L489" s="6"/>
    </row>
    <row r="490">
      <c r="B490" s="8"/>
      <c r="C490" s="8"/>
      <c r="G490" s="6"/>
      <c r="H490" s="6"/>
      <c r="I490" s="6"/>
      <c r="J490" s="6"/>
      <c r="K490" s="6"/>
      <c r="L490" s="6"/>
    </row>
    <row r="491">
      <c r="B491" s="8"/>
      <c r="C491" s="8"/>
      <c r="G491" s="6"/>
      <c r="H491" s="6"/>
      <c r="I491" s="6"/>
      <c r="J491" s="6"/>
      <c r="K491" s="6"/>
      <c r="L491" s="6"/>
    </row>
    <row r="492">
      <c r="B492" s="8"/>
      <c r="C492" s="8"/>
      <c r="G492" s="6"/>
      <c r="H492" s="6"/>
      <c r="I492" s="6"/>
      <c r="J492" s="6"/>
      <c r="K492" s="6"/>
      <c r="L492" s="6"/>
    </row>
    <row r="493">
      <c r="B493" s="8"/>
      <c r="C493" s="8"/>
      <c r="G493" s="6"/>
      <c r="H493" s="6"/>
      <c r="I493" s="6"/>
      <c r="J493" s="6"/>
      <c r="K493" s="6"/>
      <c r="L493" s="6"/>
    </row>
    <row r="494">
      <c r="B494" s="8"/>
      <c r="C494" s="8"/>
      <c r="G494" s="6"/>
      <c r="H494" s="6"/>
      <c r="I494" s="6"/>
      <c r="J494" s="6"/>
      <c r="K494" s="6"/>
      <c r="L494" s="6"/>
    </row>
    <row r="495">
      <c r="B495" s="8"/>
      <c r="C495" s="8"/>
      <c r="G495" s="6"/>
      <c r="H495" s="6"/>
      <c r="I495" s="6"/>
      <c r="J495" s="6"/>
      <c r="K495" s="6"/>
      <c r="L495" s="6"/>
    </row>
    <row r="496">
      <c r="B496" s="8"/>
      <c r="C496" s="8"/>
      <c r="G496" s="6"/>
      <c r="H496" s="6"/>
      <c r="I496" s="6"/>
      <c r="J496" s="6"/>
      <c r="K496" s="6"/>
      <c r="L496" s="6"/>
    </row>
    <row r="497">
      <c r="B497" s="8"/>
      <c r="C497" s="8"/>
      <c r="G497" s="6"/>
      <c r="H497" s="6"/>
      <c r="I497" s="6"/>
      <c r="J497" s="6"/>
      <c r="K497" s="6"/>
      <c r="L497" s="6"/>
    </row>
    <row r="498">
      <c r="B498" s="8"/>
      <c r="C498" s="8"/>
      <c r="G498" s="6"/>
      <c r="H498" s="6"/>
      <c r="I498" s="6"/>
      <c r="J498" s="6"/>
      <c r="K498" s="6"/>
      <c r="L498" s="6"/>
    </row>
    <row r="499">
      <c r="B499" s="8"/>
      <c r="C499" s="8"/>
      <c r="G499" s="6"/>
      <c r="H499" s="6"/>
      <c r="I499" s="6"/>
      <c r="J499" s="6"/>
      <c r="K499" s="6"/>
      <c r="L499" s="6"/>
    </row>
    <row r="500">
      <c r="B500" s="8"/>
      <c r="C500" s="8"/>
      <c r="G500" s="6"/>
      <c r="H500" s="6"/>
      <c r="I500" s="6"/>
      <c r="J500" s="6"/>
      <c r="K500" s="6"/>
      <c r="L500" s="6"/>
    </row>
    <row r="501">
      <c r="B501" s="8"/>
      <c r="C501" s="8"/>
      <c r="G501" s="6"/>
      <c r="H501" s="6"/>
      <c r="I501" s="6"/>
      <c r="J501" s="6"/>
      <c r="K501" s="6"/>
      <c r="L501" s="6"/>
    </row>
    <row r="502">
      <c r="B502" s="8"/>
      <c r="C502" s="8"/>
      <c r="G502" s="6"/>
      <c r="H502" s="6"/>
      <c r="I502" s="6"/>
      <c r="J502" s="6"/>
      <c r="K502" s="6"/>
      <c r="L502" s="6"/>
    </row>
    <row r="503">
      <c r="B503" s="8"/>
      <c r="C503" s="8"/>
      <c r="G503" s="6"/>
      <c r="H503" s="6"/>
      <c r="I503" s="6"/>
      <c r="J503" s="6"/>
      <c r="K503" s="6"/>
      <c r="L503" s="6"/>
    </row>
    <row r="504">
      <c r="B504" s="8"/>
      <c r="C504" s="8"/>
      <c r="G504" s="6"/>
      <c r="H504" s="6"/>
      <c r="I504" s="6"/>
      <c r="J504" s="6"/>
      <c r="K504" s="6"/>
      <c r="L504" s="6"/>
    </row>
    <row r="505">
      <c r="B505" s="8"/>
      <c r="C505" s="8"/>
      <c r="G505" s="6"/>
      <c r="H505" s="6"/>
      <c r="I505" s="6"/>
      <c r="J505" s="6"/>
      <c r="K505" s="6"/>
      <c r="L505" s="6"/>
    </row>
    <row r="506">
      <c r="B506" s="8"/>
      <c r="C506" s="8"/>
      <c r="G506" s="6"/>
      <c r="H506" s="6"/>
      <c r="I506" s="6"/>
      <c r="J506" s="6"/>
      <c r="K506" s="6"/>
      <c r="L506" s="6"/>
    </row>
    <row r="507">
      <c r="B507" s="8"/>
      <c r="C507" s="8"/>
      <c r="G507" s="6"/>
      <c r="H507" s="6"/>
      <c r="I507" s="6"/>
      <c r="J507" s="6"/>
      <c r="K507" s="6"/>
      <c r="L507" s="6"/>
    </row>
    <row r="508">
      <c r="B508" s="8"/>
      <c r="C508" s="8"/>
      <c r="G508" s="6"/>
      <c r="H508" s="6"/>
      <c r="I508" s="6"/>
      <c r="J508" s="6"/>
      <c r="K508" s="6"/>
      <c r="L508" s="6"/>
    </row>
    <row r="509">
      <c r="B509" s="8"/>
      <c r="C509" s="8"/>
      <c r="G509" s="6"/>
      <c r="H509" s="6"/>
      <c r="I509" s="6"/>
      <c r="J509" s="6"/>
      <c r="K509" s="6"/>
      <c r="L509" s="6"/>
    </row>
    <row r="510">
      <c r="B510" s="8"/>
      <c r="C510" s="8"/>
      <c r="G510" s="6"/>
      <c r="H510" s="6"/>
      <c r="I510" s="6"/>
      <c r="J510" s="6"/>
      <c r="K510" s="6"/>
      <c r="L510" s="6"/>
    </row>
    <row r="511">
      <c r="B511" s="8"/>
      <c r="C511" s="8"/>
      <c r="G511" s="6"/>
      <c r="H511" s="6"/>
      <c r="I511" s="6"/>
      <c r="J511" s="6"/>
      <c r="K511" s="6"/>
      <c r="L511" s="6"/>
    </row>
    <row r="512">
      <c r="B512" s="8"/>
      <c r="C512" s="8"/>
      <c r="G512" s="6"/>
      <c r="H512" s="6"/>
      <c r="I512" s="6"/>
      <c r="J512" s="6"/>
      <c r="K512" s="6"/>
      <c r="L512" s="6"/>
    </row>
    <row r="513">
      <c r="B513" s="8"/>
      <c r="C513" s="8"/>
      <c r="G513" s="6"/>
      <c r="H513" s="6"/>
      <c r="I513" s="6"/>
      <c r="J513" s="6"/>
      <c r="K513" s="6"/>
      <c r="L513" s="6"/>
    </row>
    <row r="514">
      <c r="B514" s="8"/>
      <c r="C514" s="8"/>
      <c r="G514" s="6"/>
      <c r="H514" s="6"/>
      <c r="I514" s="6"/>
      <c r="J514" s="6"/>
      <c r="K514" s="6"/>
      <c r="L514" s="6"/>
    </row>
    <row r="515">
      <c r="B515" s="8"/>
      <c r="C515" s="8"/>
      <c r="G515" s="6"/>
      <c r="H515" s="6"/>
      <c r="I515" s="6"/>
      <c r="J515" s="6"/>
      <c r="K515" s="6"/>
      <c r="L515" s="6"/>
    </row>
    <row r="516">
      <c r="B516" s="8"/>
      <c r="C516" s="8"/>
      <c r="G516" s="6"/>
      <c r="H516" s="6"/>
      <c r="I516" s="6"/>
      <c r="J516" s="6"/>
      <c r="K516" s="6"/>
      <c r="L516" s="6"/>
    </row>
    <row r="517">
      <c r="B517" s="8"/>
      <c r="C517" s="8"/>
      <c r="G517" s="6"/>
      <c r="H517" s="6"/>
      <c r="I517" s="6"/>
      <c r="J517" s="6"/>
      <c r="K517" s="6"/>
      <c r="L517" s="6"/>
    </row>
    <row r="518">
      <c r="B518" s="8"/>
      <c r="C518" s="8"/>
      <c r="G518" s="6"/>
      <c r="H518" s="6"/>
      <c r="I518" s="6"/>
      <c r="J518" s="6"/>
      <c r="K518" s="6"/>
      <c r="L518" s="6"/>
    </row>
    <row r="519">
      <c r="B519" s="8"/>
      <c r="C519" s="8"/>
      <c r="G519" s="6"/>
      <c r="H519" s="6"/>
      <c r="I519" s="6"/>
      <c r="J519" s="6"/>
      <c r="K519" s="6"/>
      <c r="L519" s="6"/>
    </row>
    <row r="520">
      <c r="B520" s="8"/>
      <c r="C520" s="8"/>
      <c r="G520" s="6"/>
      <c r="H520" s="6"/>
      <c r="I520" s="6"/>
      <c r="J520" s="6"/>
      <c r="K520" s="6"/>
      <c r="L520" s="6"/>
    </row>
    <row r="521">
      <c r="B521" s="8"/>
      <c r="C521" s="8"/>
      <c r="G521" s="6"/>
      <c r="H521" s="6"/>
      <c r="I521" s="6"/>
      <c r="J521" s="6"/>
      <c r="K521" s="6"/>
      <c r="L521" s="6"/>
    </row>
    <row r="522">
      <c r="B522" s="8"/>
      <c r="C522" s="8"/>
      <c r="G522" s="6"/>
      <c r="H522" s="6"/>
      <c r="I522" s="6"/>
      <c r="J522" s="6"/>
      <c r="K522" s="6"/>
      <c r="L522" s="6"/>
    </row>
    <row r="523">
      <c r="B523" s="8"/>
      <c r="C523" s="8"/>
      <c r="G523" s="6"/>
      <c r="H523" s="6"/>
      <c r="I523" s="6"/>
      <c r="J523" s="6"/>
      <c r="K523" s="6"/>
      <c r="L523" s="6"/>
    </row>
    <row r="524">
      <c r="B524" s="8"/>
      <c r="C524" s="8"/>
      <c r="G524" s="6"/>
      <c r="H524" s="6"/>
      <c r="I524" s="6"/>
      <c r="J524" s="6"/>
      <c r="K524" s="6"/>
      <c r="L524" s="6"/>
    </row>
    <row r="525">
      <c r="B525" s="8"/>
      <c r="C525" s="8"/>
      <c r="G525" s="6"/>
      <c r="H525" s="6"/>
      <c r="I525" s="6"/>
      <c r="J525" s="6"/>
      <c r="K525" s="6"/>
      <c r="L525" s="6"/>
    </row>
    <row r="526">
      <c r="B526" s="8"/>
      <c r="C526" s="8"/>
      <c r="G526" s="6"/>
      <c r="H526" s="6"/>
      <c r="I526" s="6"/>
      <c r="J526" s="6"/>
      <c r="K526" s="6"/>
      <c r="L526" s="6"/>
    </row>
    <row r="527">
      <c r="B527" s="8"/>
      <c r="C527" s="8"/>
      <c r="G527" s="6"/>
      <c r="H527" s="6"/>
      <c r="I527" s="6"/>
      <c r="J527" s="6"/>
      <c r="K527" s="6"/>
      <c r="L527" s="6"/>
    </row>
    <row r="528">
      <c r="B528" s="8"/>
      <c r="C528" s="8"/>
      <c r="G528" s="6"/>
      <c r="H528" s="6"/>
      <c r="I528" s="6"/>
      <c r="J528" s="6"/>
      <c r="K528" s="6"/>
      <c r="L528" s="6"/>
    </row>
    <row r="529">
      <c r="B529" s="8"/>
      <c r="C529" s="8"/>
      <c r="G529" s="6"/>
      <c r="H529" s="6"/>
      <c r="I529" s="6"/>
      <c r="J529" s="6"/>
      <c r="K529" s="6"/>
      <c r="L529" s="6"/>
    </row>
    <row r="530">
      <c r="B530" s="8"/>
      <c r="C530" s="8"/>
      <c r="G530" s="6"/>
      <c r="H530" s="6"/>
      <c r="I530" s="6"/>
      <c r="J530" s="6"/>
      <c r="K530" s="6"/>
      <c r="L530" s="6"/>
    </row>
    <row r="531">
      <c r="B531" s="8"/>
      <c r="C531" s="8"/>
      <c r="G531" s="6"/>
      <c r="H531" s="6"/>
      <c r="I531" s="6"/>
      <c r="J531" s="6"/>
      <c r="K531" s="6"/>
      <c r="L531" s="6"/>
    </row>
    <row r="532">
      <c r="B532" s="8"/>
      <c r="C532" s="8"/>
      <c r="G532" s="6"/>
      <c r="H532" s="6"/>
      <c r="I532" s="6"/>
      <c r="J532" s="6"/>
      <c r="K532" s="6"/>
      <c r="L532" s="6"/>
    </row>
    <row r="533">
      <c r="B533" s="8"/>
      <c r="C533" s="8"/>
      <c r="G533" s="6"/>
      <c r="H533" s="6"/>
      <c r="I533" s="6"/>
      <c r="J533" s="6"/>
      <c r="K533" s="6"/>
      <c r="L533" s="6"/>
    </row>
    <row r="534">
      <c r="B534" s="8"/>
      <c r="C534" s="8"/>
      <c r="G534" s="6"/>
      <c r="H534" s="6"/>
      <c r="I534" s="6"/>
      <c r="J534" s="6"/>
      <c r="K534" s="6"/>
      <c r="L534" s="6"/>
    </row>
    <row r="535">
      <c r="B535" s="8"/>
      <c r="C535" s="8"/>
      <c r="G535" s="6"/>
      <c r="H535" s="6"/>
      <c r="I535" s="6"/>
      <c r="J535" s="6"/>
      <c r="K535" s="6"/>
      <c r="L535" s="6"/>
    </row>
    <row r="536">
      <c r="B536" s="8"/>
      <c r="C536" s="8"/>
      <c r="G536" s="6"/>
      <c r="H536" s="6"/>
      <c r="I536" s="6"/>
      <c r="J536" s="6"/>
      <c r="K536" s="6"/>
      <c r="L536" s="6"/>
    </row>
    <row r="537">
      <c r="B537" s="8"/>
      <c r="C537" s="8"/>
      <c r="G537" s="6"/>
      <c r="H537" s="6"/>
      <c r="I537" s="6"/>
      <c r="J537" s="6"/>
      <c r="K537" s="6"/>
      <c r="L537" s="6"/>
    </row>
    <row r="538">
      <c r="B538" s="8"/>
      <c r="C538" s="8"/>
      <c r="G538" s="6"/>
      <c r="H538" s="6"/>
      <c r="I538" s="6"/>
      <c r="J538" s="6"/>
      <c r="K538" s="6"/>
      <c r="L538" s="6"/>
    </row>
    <row r="539">
      <c r="B539" s="8"/>
      <c r="C539" s="8"/>
      <c r="G539" s="6"/>
      <c r="H539" s="6"/>
      <c r="I539" s="6"/>
      <c r="J539" s="6"/>
      <c r="K539" s="6"/>
      <c r="L539" s="6"/>
    </row>
    <row r="540">
      <c r="B540" s="8"/>
      <c r="C540" s="8"/>
      <c r="G540" s="6"/>
      <c r="H540" s="6"/>
      <c r="I540" s="6"/>
      <c r="J540" s="6"/>
      <c r="K540" s="6"/>
      <c r="L540" s="6"/>
    </row>
    <row r="541">
      <c r="B541" s="8"/>
      <c r="C541" s="8"/>
      <c r="G541" s="6"/>
      <c r="H541" s="6"/>
      <c r="I541" s="6"/>
      <c r="J541" s="6"/>
      <c r="K541" s="6"/>
      <c r="L541" s="6"/>
    </row>
    <row r="542">
      <c r="B542" s="8"/>
      <c r="C542" s="8"/>
      <c r="G542" s="6"/>
      <c r="H542" s="6"/>
      <c r="I542" s="6"/>
      <c r="J542" s="6"/>
      <c r="K542" s="6"/>
      <c r="L542" s="6"/>
    </row>
    <row r="543">
      <c r="B543" s="8"/>
      <c r="C543" s="8"/>
      <c r="G543" s="6"/>
      <c r="H543" s="6"/>
      <c r="I543" s="6"/>
      <c r="J543" s="6"/>
      <c r="K543" s="6"/>
      <c r="L543" s="6"/>
    </row>
    <row r="544">
      <c r="B544" s="8"/>
      <c r="C544" s="8"/>
      <c r="G544" s="6"/>
      <c r="H544" s="6"/>
      <c r="I544" s="6"/>
      <c r="J544" s="6"/>
      <c r="K544" s="6"/>
      <c r="L544" s="6"/>
    </row>
    <row r="545">
      <c r="B545" s="8"/>
      <c r="C545" s="8"/>
      <c r="G545" s="6"/>
      <c r="H545" s="6"/>
      <c r="I545" s="6"/>
      <c r="J545" s="6"/>
      <c r="K545" s="6"/>
      <c r="L545" s="6"/>
    </row>
    <row r="546">
      <c r="B546" s="8"/>
      <c r="C546" s="8"/>
      <c r="G546" s="6"/>
      <c r="H546" s="6"/>
      <c r="I546" s="6"/>
      <c r="J546" s="6"/>
      <c r="K546" s="6"/>
      <c r="L546" s="6"/>
    </row>
    <row r="547">
      <c r="B547" s="8"/>
      <c r="C547" s="8"/>
      <c r="G547" s="6"/>
      <c r="H547" s="6"/>
      <c r="I547" s="6"/>
      <c r="J547" s="6"/>
      <c r="K547" s="6"/>
      <c r="L547" s="6"/>
    </row>
    <row r="548">
      <c r="B548" s="8"/>
      <c r="C548" s="8"/>
      <c r="G548" s="6"/>
      <c r="H548" s="6"/>
      <c r="I548" s="6"/>
      <c r="J548" s="6"/>
      <c r="K548" s="6"/>
      <c r="L548" s="6"/>
    </row>
    <row r="549">
      <c r="B549" s="8"/>
      <c r="C549" s="8"/>
      <c r="G549" s="6"/>
      <c r="H549" s="6"/>
      <c r="I549" s="6"/>
      <c r="J549" s="6"/>
      <c r="K549" s="6"/>
      <c r="L549" s="6"/>
    </row>
    <row r="550">
      <c r="B550" s="8"/>
      <c r="C550" s="8"/>
      <c r="G550" s="6"/>
      <c r="H550" s="6"/>
      <c r="I550" s="6"/>
      <c r="J550" s="6"/>
      <c r="K550" s="6"/>
      <c r="L550" s="6"/>
    </row>
    <row r="551">
      <c r="B551" s="8"/>
      <c r="C551" s="8"/>
      <c r="G551" s="6"/>
      <c r="H551" s="6"/>
      <c r="I551" s="6"/>
      <c r="J551" s="6"/>
      <c r="K551" s="6"/>
      <c r="L551" s="6"/>
    </row>
    <row r="552">
      <c r="B552" s="8"/>
      <c r="C552" s="8"/>
      <c r="G552" s="6"/>
      <c r="H552" s="6"/>
      <c r="I552" s="6"/>
      <c r="J552" s="6"/>
      <c r="K552" s="6"/>
      <c r="L552" s="6"/>
    </row>
    <row r="553">
      <c r="B553" s="8"/>
      <c r="C553" s="8"/>
      <c r="G553" s="6"/>
      <c r="H553" s="6"/>
      <c r="I553" s="6"/>
      <c r="J553" s="6"/>
      <c r="K553" s="6"/>
      <c r="L553" s="6"/>
    </row>
    <row r="554">
      <c r="B554" s="8"/>
      <c r="C554" s="8"/>
      <c r="G554" s="6"/>
      <c r="H554" s="6"/>
      <c r="I554" s="6"/>
      <c r="J554" s="6"/>
      <c r="K554" s="6"/>
      <c r="L554" s="6"/>
    </row>
    <row r="555">
      <c r="B555" s="8"/>
      <c r="C555" s="8"/>
      <c r="G555" s="6"/>
      <c r="H555" s="6"/>
      <c r="I555" s="6"/>
      <c r="J555" s="6"/>
      <c r="K555" s="6"/>
      <c r="L555" s="6"/>
    </row>
    <row r="556">
      <c r="B556" s="8"/>
      <c r="C556" s="8"/>
      <c r="G556" s="6"/>
      <c r="H556" s="6"/>
      <c r="I556" s="6"/>
      <c r="J556" s="6"/>
      <c r="K556" s="6"/>
      <c r="L556" s="6"/>
    </row>
    <row r="557">
      <c r="B557" s="8"/>
      <c r="C557" s="8"/>
      <c r="G557" s="6"/>
      <c r="H557" s="6"/>
      <c r="I557" s="6"/>
      <c r="J557" s="6"/>
      <c r="K557" s="6"/>
      <c r="L557" s="6"/>
    </row>
    <row r="558">
      <c r="B558" s="8"/>
      <c r="C558" s="8"/>
      <c r="G558" s="6"/>
      <c r="H558" s="6"/>
      <c r="I558" s="6"/>
      <c r="J558" s="6"/>
      <c r="K558" s="6"/>
      <c r="L558" s="6"/>
    </row>
    <row r="559">
      <c r="B559" s="8"/>
      <c r="C559" s="8"/>
      <c r="G559" s="6"/>
      <c r="H559" s="6"/>
      <c r="I559" s="6"/>
      <c r="J559" s="6"/>
      <c r="K559" s="6"/>
      <c r="L559" s="6"/>
    </row>
    <row r="560">
      <c r="B560" s="8"/>
      <c r="C560" s="8"/>
      <c r="G560" s="6"/>
      <c r="H560" s="6"/>
      <c r="I560" s="6"/>
      <c r="J560" s="6"/>
      <c r="K560" s="6"/>
      <c r="L560" s="6"/>
    </row>
    <row r="561">
      <c r="B561" s="8"/>
      <c r="C561" s="8"/>
      <c r="G561" s="6"/>
      <c r="H561" s="6"/>
      <c r="I561" s="6"/>
      <c r="J561" s="6"/>
      <c r="K561" s="6"/>
      <c r="L561" s="6"/>
    </row>
    <row r="562">
      <c r="B562" s="8"/>
      <c r="C562" s="8"/>
      <c r="G562" s="6"/>
      <c r="H562" s="6"/>
      <c r="I562" s="6"/>
      <c r="J562" s="6"/>
      <c r="K562" s="6"/>
      <c r="L562" s="6"/>
    </row>
    <row r="563">
      <c r="B563" s="8"/>
      <c r="C563" s="8"/>
      <c r="G563" s="6"/>
      <c r="H563" s="6"/>
      <c r="I563" s="6"/>
      <c r="J563" s="6"/>
      <c r="K563" s="6"/>
      <c r="L563" s="6"/>
    </row>
    <row r="564">
      <c r="B564" s="8"/>
      <c r="C564" s="8"/>
      <c r="G564" s="6"/>
      <c r="H564" s="6"/>
      <c r="I564" s="6"/>
      <c r="J564" s="6"/>
      <c r="K564" s="6"/>
      <c r="L564" s="6"/>
    </row>
    <row r="565">
      <c r="B565" s="8"/>
      <c r="C565" s="8"/>
      <c r="G565" s="6"/>
      <c r="H565" s="6"/>
      <c r="I565" s="6"/>
      <c r="J565" s="6"/>
      <c r="K565" s="6"/>
      <c r="L565" s="6"/>
    </row>
    <row r="566">
      <c r="B566" s="8"/>
      <c r="C566" s="8"/>
      <c r="G566" s="6"/>
      <c r="H566" s="6"/>
      <c r="I566" s="6"/>
      <c r="J566" s="6"/>
      <c r="K566" s="6"/>
      <c r="L566" s="6"/>
    </row>
    <row r="567">
      <c r="B567" s="8"/>
      <c r="C567" s="8"/>
      <c r="G567" s="6"/>
      <c r="H567" s="6"/>
      <c r="I567" s="6"/>
      <c r="J567" s="6"/>
      <c r="K567" s="6"/>
      <c r="L567" s="6"/>
    </row>
    <row r="568">
      <c r="B568" s="8"/>
      <c r="C568" s="8"/>
      <c r="G568" s="6"/>
      <c r="H568" s="6"/>
      <c r="I568" s="6"/>
      <c r="J568" s="6"/>
      <c r="K568" s="6"/>
      <c r="L568" s="6"/>
    </row>
    <row r="569">
      <c r="B569" s="8"/>
      <c r="C569" s="8"/>
      <c r="G569" s="6"/>
      <c r="H569" s="6"/>
      <c r="I569" s="6"/>
      <c r="J569" s="6"/>
      <c r="K569" s="6"/>
      <c r="L569" s="6"/>
    </row>
    <row r="570">
      <c r="B570" s="8"/>
      <c r="C570" s="8"/>
      <c r="G570" s="6"/>
      <c r="H570" s="6"/>
      <c r="I570" s="6"/>
      <c r="J570" s="6"/>
      <c r="K570" s="6"/>
      <c r="L570" s="6"/>
    </row>
    <row r="571">
      <c r="B571" s="8"/>
      <c r="C571" s="8"/>
      <c r="G571" s="6"/>
      <c r="H571" s="6"/>
      <c r="I571" s="6"/>
      <c r="J571" s="6"/>
      <c r="K571" s="6"/>
      <c r="L571" s="6"/>
    </row>
    <row r="572">
      <c r="B572" s="8"/>
      <c r="C572" s="8"/>
      <c r="G572" s="6"/>
      <c r="H572" s="6"/>
      <c r="I572" s="6"/>
      <c r="J572" s="6"/>
      <c r="K572" s="6"/>
      <c r="L572" s="6"/>
    </row>
    <row r="573">
      <c r="B573" s="8"/>
      <c r="C573" s="8"/>
      <c r="G573" s="6"/>
      <c r="H573" s="6"/>
      <c r="I573" s="6"/>
      <c r="J573" s="6"/>
      <c r="K573" s="6"/>
      <c r="L573" s="6"/>
    </row>
    <row r="574">
      <c r="B574" s="8"/>
      <c r="C574" s="8"/>
      <c r="G574" s="6"/>
      <c r="H574" s="6"/>
      <c r="I574" s="6"/>
      <c r="J574" s="6"/>
      <c r="K574" s="6"/>
      <c r="L574" s="6"/>
    </row>
    <row r="575">
      <c r="B575" s="8"/>
      <c r="C575" s="8"/>
      <c r="G575" s="6"/>
      <c r="H575" s="6"/>
      <c r="I575" s="6"/>
      <c r="J575" s="6"/>
      <c r="K575" s="6"/>
      <c r="L575" s="6"/>
    </row>
    <row r="576">
      <c r="B576" s="8"/>
      <c r="C576" s="8"/>
      <c r="G576" s="6"/>
      <c r="H576" s="6"/>
      <c r="I576" s="6"/>
      <c r="J576" s="6"/>
      <c r="K576" s="6"/>
      <c r="L576" s="6"/>
    </row>
    <row r="577">
      <c r="B577" s="8"/>
      <c r="C577" s="8"/>
      <c r="G577" s="6"/>
      <c r="H577" s="6"/>
      <c r="I577" s="6"/>
      <c r="J577" s="6"/>
      <c r="K577" s="6"/>
      <c r="L577" s="6"/>
    </row>
    <row r="578">
      <c r="B578" s="8"/>
      <c r="C578" s="8"/>
      <c r="G578" s="6"/>
      <c r="H578" s="6"/>
      <c r="I578" s="6"/>
      <c r="J578" s="6"/>
      <c r="K578" s="6"/>
      <c r="L578" s="6"/>
    </row>
    <row r="579">
      <c r="B579" s="8"/>
      <c r="C579" s="8"/>
      <c r="G579" s="6"/>
      <c r="H579" s="6"/>
      <c r="I579" s="6"/>
      <c r="J579" s="6"/>
      <c r="K579" s="6"/>
      <c r="L579" s="6"/>
    </row>
    <row r="580">
      <c r="B580" s="8"/>
      <c r="C580" s="8"/>
      <c r="G580" s="6"/>
      <c r="H580" s="6"/>
      <c r="I580" s="6"/>
      <c r="J580" s="6"/>
      <c r="K580" s="6"/>
      <c r="L580" s="6"/>
    </row>
    <row r="581">
      <c r="B581" s="8"/>
      <c r="C581" s="8"/>
      <c r="G581" s="6"/>
      <c r="H581" s="6"/>
      <c r="I581" s="6"/>
      <c r="J581" s="6"/>
      <c r="K581" s="6"/>
      <c r="L581" s="6"/>
    </row>
    <row r="582">
      <c r="B582" s="8"/>
      <c r="C582" s="8"/>
      <c r="G582" s="6"/>
      <c r="H582" s="6"/>
      <c r="I582" s="6"/>
      <c r="J582" s="6"/>
      <c r="K582" s="6"/>
      <c r="L582" s="6"/>
    </row>
    <row r="583">
      <c r="B583" s="8"/>
      <c r="C583" s="8"/>
      <c r="G583" s="6"/>
      <c r="H583" s="6"/>
      <c r="I583" s="6"/>
      <c r="J583" s="6"/>
      <c r="K583" s="6"/>
      <c r="L583" s="6"/>
    </row>
    <row r="584">
      <c r="B584" s="8"/>
      <c r="C584" s="8"/>
      <c r="G584" s="6"/>
      <c r="H584" s="6"/>
      <c r="I584" s="6"/>
      <c r="J584" s="6"/>
      <c r="K584" s="6"/>
      <c r="L584" s="6"/>
    </row>
    <row r="585">
      <c r="B585" s="8"/>
      <c r="C585" s="8"/>
      <c r="G585" s="6"/>
      <c r="H585" s="6"/>
      <c r="I585" s="6"/>
      <c r="J585" s="6"/>
      <c r="K585" s="6"/>
      <c r="L585" s="6"/>
    </row>
    <row r="586">
      <c r="B586" s="8"/>
      <c r="C586" s="8"/>
      <c r="G586" s="6"/>
      <c r="H586" s="6"/>
      <c r="I586" s="6"/>
      <c r="J586" s="6"/>
      <c r="K586" s="6"/>
      <c r="L586" s="6"/>
    </row>
    <row r="587">
      <c r="B587" s="8"/>
      <c r="C587" s="8"/>
      <c r="G587" s="6"/>
      <c r="H587" s="6"/>
      <c r="I587" s="6"/>
      <c r="J587" s="6"/>
      <c r="K587" s="6"/>
      <c r="L587" s="6"/>
    </row>
    <row r="588">
      <c r="B588" s="8"/>
      <c r="C588" s="8"/>
      <c r="G588" s="6"/>
      <c r="H588" s="6"/>
      <c r="I588" s="6"/>
      <c r="J588" s="6"/>
      <c r="K588" s="6"/>
      <c r="L588" s="6"/>
    </row>
    <row r="589">
      <c r="B589" s="8"/>
      <c r="C589" s="8"/>
      <c r="G589" s="6"/>
      <c r="H589" s="6"/>
      <c r="I589" s="6"/>
      <c r="J589" s="6"/>
      <c r="K589" s="6"/>
      <c r="L589" s="6"/>
    </row>
    <row r="590">
      <c r="B590" s="8"/>
      <c r="C590" s="8"/>
      <c r="G590" s="6"/>
      <c r="H590" s="6"/>
      <c r="I590" s="6"/>
      <c r="J590" s="6"/>
      <c r="K590" s="6"/>
      <c r="L590" s="6"/>
    </row>
    <row r="591">
      <c r="B591" s="8"/>
      <c r="C591" s="8"/>
      <c r="G591" s="6"/>
      <c r="H591" s="6"/>
      <c r="I591" s="6"/>
      <c r="J591" s="6"/>
      <c r="K591" s="6"/>
      <c r="L591" s="6"/>
    </row>
    <row r="592">
      <c r="B592" s="8"/>
      <c r="C592" s="8"/>
      <c r="G592" s="6"/>
      <c r="H592" s="6"/>
      <c r="I592" s="6"/>
      <c r="J592" s="6"/>
      <c r="K592" s="6"/>
      <c r="L592" s="6"/>
    </row>
    <row r="593">
      <c r="B593" s="8"/>
      <c r="C593" s="8"/>
      <c r="G593" s="6"/>
      <c r="H593" s="6"/>
      <c r="I593" s="6"/>
      <c r="J593" s="6"/>
      <c r="K593" s="6"/>
      <c r="L593" s="6"/>
    </row>
    <row r="594">
      <c r="B594" s="8"/>
      <c r="C594" s="8"/>
      <c r="G594" s="6"/>
      <c r="H594" s="6"/>
      <c r="I594" s="6"/>
      <c r="J594" s="6"/>
      <c r="K594" s="6"/>
      <c r="L594" s="6"/>
    </row>
    <row r="595">
      <c r="B595" s="8"/>
      <c r="C595" s="8"/>
      <c r="G595" s="6"/>
      <c r="H595" s="6"/>
      <c r="I595" s="6"/>
      <c r="J595" s="6"/>
      <c r="K595" s="6"/>
      <c r="L595" s="6"/>
    </row>
    <row r="596">
      <c r="B596" s="8"/>
      <c r="C596" s="8"/>
      <c r="G596" s="6"/>
      <c r="H596" s="6"/>
      <c r="I596" s="6"/>
      <c r="J596" s="6"/>
      <c r="K596" s="6"/>
      <c r="L596" s="6"/>
    </row>
    <row r="597">
      <c r="B597" s="8"/>
      <c r="C597" s="8"/>
      <c r="G597" s="6"/>
      <c r="H597" s="6"/>
      <c r="I597" s="6"/>
      <c r="J597" s="6"/>
      <c r="K597" s="6"/>
      <c r="L597" s="6"/>
    </row>
    <row r="598">
      <c r="B598" s="8"/>
      <c r="C598" s="8"/>
      <c r="G598" s="6"/>
      <c r="H598" s="6"/>
      <c r="I598" s="6"/>
      <c r="J598" s="6"/>
      <c r="K598" s="6"/>
      <c r="L598" s="6"/>
    </row>
    <row r="599">
      <c r="B599" s="8"/>
      <c r="C599" s="8"/>
      <c r="G599" s="6"/>
      <c r="H599" s="6"/>
      <c r="I599" s="6"/>
      <c r="J599" s="6"/>
      <c r="K599" s="6"/>
      <c r="L599" s="6"/>
    </row>
    <row r="600">
      <c r="B600" s="8"/>
      <c r="C600" s="8"/>
      <c r="G600" s="6"/>
      <c r="H600" s="6"/>
      <c r="I600" s="6"/>
      <c r="J600" s="6"/>
      <c r="K600" s="6"/>
      <c r="L600" s="6"/>
    </row>
    <row r="601">
      <c r="B601" s="8"/>
      <c r="C601" s="8"/>
      <c r="G601" s="6"/>
      <c r="H601" s="6"/>
      <c r="I601" s="6"/>
      <c r="J601" s="6"/>
      <c r="K601" s="6"/>
      <c r="L601" s="6"/>
    </row>
    <row r="602">
      <c r="B602" s="8"/>
      <c r="C602" s="8"/>
      <c r="G602" s="6"/>
      <c r="H602" s="6"/>
      <c r="I602" s="6"/>
      <c r="J602" s="6"/>
      <c r="K602" s="6"/>
      <c r="L602" s="6"/>
    </row>
    <row r="603">
      <c r="B603" s="8"/>
      <c r="C603" s="8"/>
      <c r="G603" s="6"/>
      <c r="H603" s="6"/>
      <c r="I603" s="6"/>
      <c r="J603" s="6"/>
      <c r="K603" s="6"/>
      <c r="L603" s="6"/>
    </row>
    <row r="604">
      <c r="B604" s="8"/>
      <c r="C604" s="8"/>
      <c r="G604" s="6"/>
      <c r="H604" s="6"/>
      <c r="I604" s="6"/>
      <c r="J604" s="6"/>
      <c r="K604" s="6"/>
      <c r="L604" s="6"/>
    </row>
    <row r="605">
      <c r="B605" s="8"/>
      <c r="C605" s="8"/>
      <c r="G605" s="6"/>
      <c r="H605" s="6"/>
      <c r="I605" s="6"/>
      <c r="J605" s="6"/>
      <c r="K605" s="6"/>
      <c r="L605" s="6"/>
    </row>
    <row r="606">
      <c r="B606" s="8"/>
      <c r="C606" s="8"/>
      <c r="G606" s="6"/>
      <c r="H606" s="6"/>
      <c r="I606" s="6"/>
      <c r="J606" s="6"/>
      <c r="K606" s="6"/>
      <c r="L606" s="6"/>
    </row>
    <row r="607">
      <c r="B607" s="8"/>
      <c r="C607" s="8"/>
      <c r="G607" s="6"/>
      <c r="H607" s="6"/>
      <c r="I607" s="6"/>
      <c r="J607" s="6"/>
      <c r="K607" s="6"/>
      <c r="L607" s="6"/>
    </row>
    <row r="608">
      <c r="B608" s="8"/>
      <c r="C608" s="8"/>
      <c r="G608" s="6"/>
      <c r="H608" s="6"/>
      <c r="I608" s="6"/>
      <c r="J608" s="6"/>
      <c r="K608" s="6"/>
      <c r="L608" s="6"/>
    </row>
    <row r="609">
      <c r="B609" s="8"/>
      <c r="C609" s="8"/>
      <c r="G609" s="6"/>
      <c r="H609" s="6"/>
      <c r="I609" s="6"/>
      <c r="J609" s="6"/>
      <c r="K609" s="6"/>
      <c r="L609" s="6"/>
    </row>
    <row r="610">
      <c r="B610" s="8"/>
      <c r="C610" s="8"/>
      <c r="G610" s="6"/>
      <c r="H610" s="6"/>
      <c r="I610" s="6"/>
      <c r="J610" s="6"/>
      <c r="K610" s="6"/>
      <c r="L610" s="6"/>
    </row>
    <row r="611">
      <c r="B611" s="8"/>
      <c r="C611" s="8"/>
      <c r="G611" s="6"/>
      <c r="H611" s="6"/>
      <c r="I611" s="6"/>
      <c r="J611" s="6"/>
      <c r="K611" s="6"/>
      <c r="L611" s="6"/>
    </row>
    <row r="612">
      <c r="B612" s="8"/>
      <c r="C612" s="8"/>
      <c r="G612" s="6"/>
      <c r="H612" s="6"/>
      <c r="I612" s="6"/>
      <c r="J612" s="6"/>
      <c r="K612" s="6"/>
      <c r="L612" s="6"/>
    </row>
    <row r="613">
      <c r="B613" s="8"/>
      <c r="C613" s="8"/>
      <c r="G613" s="6"/>
      <c r="H613" s="6"/>
      <c r="I613" s="6"/>
      <c r="J613" s="6"/>
      <c r="K613" s="6"/>
      <c r="L613" s="6"/>
    </row>
    <row r="614">
      <c r="B614" s="8"/>
      <c r="C614" s="8"/>
      <c r="G614" s="6"/>
      <c r="H614" s="6"/>
      <c r="I614" s="6"/>
      <c r="J614" s="6"/>
      <c r="K614" s="6"/>
      <c r="L614" s="6"/>
    </row>
    <row r="615">
      <c r="B615" s="8"/>
      <c r="C615" s="8"/>
      <c r="G615" s="6"/>
      <c r="H615" s="6"/>
      <c r="I615" s="6"/>
      <c r="J615" s="6"/>
      <c r="K615" s="6"/>
      <c r="L615" s="6"/>
    </row>
    <row r="616">
      <c r="B616" s="8"/>
      <c r="C616" s="8"/>
      <c r="G616" s="6"/>
      <c r="H616" s="6"/>
      <c r="I616" s="6"/>
      <c r="J616" s="6"/>
      <c r="K616" s="6"/>
      <c r="L616" s="6"/>
    </row>
    <row r="617">
      <c r="B617" s="8"/>
      <c r="C617" s="8"/>
      <c r="G617" s="6"/>
      <c r="H617" s="6"/>
      <c r="I617" s="6"/>
      <c r="J617" s="6"/>
      <c r="K617" s="6"/>
      <c r="L617" s="6"/>
    </row>
    <row r="618">
      <c r="B618" s="8"/>
      <c r="C618" s="8"/>
      <c r="G618" s="6"/>
      <c r="H618" s="6"/>
      <c r="I618" s="6"/>
      <c r="J618" s="6"/>
      <c r="K618" s="6"/>
      <c r="L618" s="6"/>
    </row>
    <row r="619">
      <c r="B619" s="8"/>
      <c r="C619" s="8"/>
      <c r="G619" s="6"/>
      <c r="H619" s="6"/>
      <c r="I619" s="6"/>
      <c r="J619" s="6"/>
      <c r="K619" s="6"/>
      <c r="L619" s="6"/>
    </row>
    <row r="620">
      <c r="B620" s="8"/>
      <c r="C620" s="8"/>
      <c r="G620" s="6"/>
      <c r="H620" s="6"/>
      <c r="I620" s="6"/>
      <c r="J620" s="6"/>
      <c r="K620" s="6"/>
      <c r="L620" s="6"/>
    </row>
    <row r="621">
      <c r="B621" s="8"/>
      <c r="C621" s="8"/>
      <c r="G621" s="6"/>
      <c r="H621" s="6"/>
      <c r="I621" s="6"/>
      <c r="J621" s="6"/>
      <c r="K621" s="6"/>
      <c r="L621" s="6"/>
    </row>
    <row r="622">
      <c r="B622" s="8"/>
      <c r="C622" s="8"/>
      <c r="G622" s="6"/>
      <c r="H622" s="6"/>
      <c r="I622" s="6"/>
      <c r="J622" s="6"/>
      <c r="K622" s="6"/>
      <c r="L622" s="6"/>
    </row>
    <row r="623">
      <c r="B623" s="8"/>
      <c r="C623" s="8"/>
      <c r="G623" s="6"/>
      <c r="H623" s="6"/>
      <c r="I623" s="6"/>
      <c r="J623" s="6"/>
      <c r="K623" s="6"/>
      <c r="L623" s="6"/>
    </row>
    <row r="624">
      <c r="B624" s="8"/>
      <c r="C624" s="8"/>
      <c r="G624" s="6"/>
      <c r="H624" s="6"/>
      <c r="I624" s="6"/>
      <c r="J624" s="6"/>
      <c r="K624" s="6"/>
      <c r="L624" s="6"/>
    </row>
    <row r="625">
      <c r="B625" s="8"/>
      <c r="C625" s="8"/>
      <c r="G625" s="6"/>
      <c r="H625" s="6"/>
      <c r="I625" s="6"/>
      <c r="J625" s="6"/>
      <c r="K625" s="6"/>
      <c r="L625" s="6"/>
    </row>
    <row r="626">
      <c r="B626" s="8"/>
      <c r="C626" s="8"/>
      <c r="G626" s="6"/>
      <c r="H626" s="6"/>
      <c r="I626" s="6"/>
      <c r="J626" s="6"/>
      <c r="K626" s="6"/>
      <c r="L626" s="6"/>
    </row>
    <row r="627">
      <c r="B627" s="8"/>
      <c r="C627" s="8"/>
      <c r="G627" s="6"/>
      <c r="H627" s="6"/>
      <c r="I627" s="6"/>
      <c r="J627" s="6"/>
      <c r="K627" s="6"/>
      <c r="L627" s="6"/>
    </row>
    <row r="628">
      <c r="B628" s="8"/>
      <c r="C628" s="8"/>
      <c r="G628" s="6"/>
      <c r="H628" s="6"/>
      <c r="I628" s="6"/>
      <c r="J628" s="6"/>
      <c r="K628" s="6"/>
      <c r="L628" s="6"/>
    </row>
    <row r="629">
      <c r="B629" s="8"/>
      <c r="C629" s="8"/>
      <c r="G629" s="6"/>
      <c r="H629" s="6"/>
      <c r="I629" s="6"/>
      <c r="J629" s="6"/>
      <c r="K629" s="6"/>
      <c r="L629" s="6"/>
    </row>
    <row r="630">
      <c r="B630" s="8"/>
      <c r="C630" s="8"/>
      <c r="G630" s="6"/>
      <c r="H630" s="6"/>
      <c r="I630" s="6"/>
      <c r="J630" s="6"/>
      <c r="K630" s="6"/>
      <c r="L630" s="6"/>
    </row>
    <row r="631">
      <c r="B631" s="8"/>
      <c r="C631" s="8"/>
      <c r="G631" s="6"/>
      <c r="H631" s="6"/>
      <c r="I631" s="6"/>
      <c r="J631" s="6"/>
      <c r="K631" s="6"/>
      <c r="L631" s="6"/>
    </row>
    <row r="632">
      <c r="B632" s="8"/>
      <c r="C632" s="8"/>
      <c r="G632" s="6"/>
      <c r="H632" s="6"/>
      <c r="I632" s="6"/>
      <c r="J632" s="6"/>
      <c r="K632" s="6"/>
      <c r="L632" s="6"/>
    </row>
    <row r="633">
      <c r="B633" s="8"/>
      <c r="C633" s="8"/>
      <c r="G633" s="6"/>
      <c r="H633" s="6"/>
      <c r="I633" s="6"/>
      <c r="J633" s="6"/>
      <c r="K633" s="6"/>
      <c r="L633" s="6"/>
    </row>
    <row r="634">
      <c r="B634" s="8"/>
      <c r="C634" s="8"/>
      <c r="G634" s="6"/>
      <c r="H634" s="6"/>
      <c r="I634" s="6"/>
      <c r="J634" s="6"/>
      <c r="K634" s="6"/>
      <c r="L634" s="6"/>
    </row>
    <row r="635">
      <c r="B635" s="8"/>
      <c r="C635" s="8"/>
      <c r="G635" s="6"/>
      <c r="H635" s="6"/>
      <c r="I635" s="6"/>
      <c r="J635" s="6"/>
      <c r="K635" s="6"/>
      <c r="L635" s="6"/>
    </row>
    <row r="636">
      <c r="B636" s="8"/>
      <c r="C636" s="8"/>
      <c r="G636" s="6"/>
      <c r="H636" s="6"/>
      <c r="I636" s="6"/>
      <c r="J636" s="6"/>
      <c r="K636" s="6"/>
      <c r="L636" s="6"/>
    </row>
    <row r="637">
      <c r="B637" s="8"/>
      <c r="C637" s="8"/>
      <c r="G637" s="6"/>
      <c r="H637" s="6"/>
      <c r="I637" s="6"/>
      <c r="J637" s="6"/>
      <c r="K637" s="6"/>
      <c r="L637" s="6"/>
    </row>
    <row r="638">
      <c r="B638" s="8"/>
      <c r="C638" s="8"/>
      <c r="G638" s="6"/>
      <c r="H638" s="6"/>
      <c r="I638" s="6"/>
      <c r="J638" s="6"/>
      <c r="K638" s="6"/>
      <c r="L638" s="6"/>
    </row>
    <row r="639">
      <c r="B639" s="8"/>
      <c r="C639" s="8"/>
      <c r="G639" s="6"/>
      <c r="H639" s="6"/>
      <c r="I639" s="6"/>
      <c r="J639" s="6"/>
      <c r="K639" s="6"/>
      <c r="L639" s="6"/>
    </row>
    <row r="640">
      <c r="B640" s="8"/>
      <c r="C640" s="8"/>
      <c r="G640" s="6"/>
      <c r="H640" s="6"/>
      <c r="I640" s="6"/>
      <c r="J640" s="6"/>
      <c r="K640" s="6"/>
      <c r="L640" s="6"/>
    </row>
    <row r="641">
      <c r="B641" s="8"/>
      <c r="C641" s="8"/>
      <c r="G641" s="6"/>
      <c r="H641" s="6"/>
      <c r="I641" s="6"/>
      <c r="J641" s="6"/>
      <c r="K641" s="6"/>
      <c r="L641" s="6"/>
    </row>
    <row r="642">
      <c r="B642" s="8"/>
      <c r="C642" s="8"/>
      <c r="G642" s="6"/>
      <c r="H642" s="6"/>
      <c r="I642" s="6"/>
      <c r="J642" s="6"/>
      <c r="K642" s="6"/>
      <c r="L642" s="6"/>
    </row>
    <row r="643">
      <c r="B643" s="8"/>
      <c r="C643" s="8"/>
      <c r="G643" s="6"/>
      <c r="H643" s="6"/>
      <c r="I643" s="6"/>
      <c r="J643" s="6"/>
      <c r="K643" s="6"/>
      <c r="L643" s="6"/>
    </row>
    <row r="644">
      <c r="B644" s="8"/>
      <c r="C644" s="8"/>
      <c r="G644" s="6"/>
      <c r="H644" s="6"/>
      <c r="I644" s="6"/>
      <c r="J644" s="6"/>
      <c r="K644" s="6"/>
      <c r="L644" s="6"/>
    </row>
    <row r="645">
      <c r="B645" s="8"/>
      <c r="C645" s="8"/>
      <c r="G645" s="6"/>
      <c r="H645" s="6"/>
      <c r="I645" s="6"/>
      <c r="J645" s="6"/>
      <c r="K645" s="6"/>
      <c r="L645" s="6"/>
    </row>
    <row r="646">
      <c r="B646" s="8"/>
      <c r="C646" s="8"/>
      <c r="G646" s="6"/>
      <c r="H646" s="6"/>
      <c r="I646" s="6"/>
      <c r="J646" s="6"/>
      <c r="K646" s="6"/>
      <c r="L646" s="6"/>
    </row>
    <row r="647">
      <c r="B647" s="8"/>
      <c r="C647" s="8"/>
      <c r="G647" s="6"/>
      <c r="H647" s="6"/>
      <c r="I647" s="6"/>
      <c r="J647" s="6"/>
      <c r="K647" s="6"/>
      <c r="L647" s="6"/>
    </row>
    <row r="648">
      <c r="B648" s="8"/>
      <c r="C648" s="8"/>
      <c r="G648" s="6"/>
      <c r="H648" s="6"/>
      <c r="I648" s="6"/>
      <c r="J648" s="6"/>
      <c r="K648" s="6"/>
      <c r="L648" s="6"/>
    </row>
    <row r="649">
      <c r="B649" s="8"/>
      <c r="C649" s="8"/>
      <c r="G649" s="6"/>
      <c r="H649" s="6"/>
      <c r="I649" s="6"/>
      <c r="J649" s="6"/>
      <c r="K649" s="6"/>
      <c r="L649" s="6"/>
    </row>
    <row r="650">
      <c r="B650" s="8"/>
      <c r="C650" s="8"/>
      <c r="G650" s="6"/>
      <c r="H650" s="6"/>
      <c r="I650" s="6"/>
      <c r="J650" s="6"/>
      <c r="K650" s="6"/>
      <c r="L650" s="6"/>
    </row>
    <row r="651">
      <c r="B651" s="8"/>
      <c r="C651" s="8"/>
      <c r="G651" s="6"/>
      <c r="H651" s="6"/>
      <c r="I651" s="6"/>
      <c r="J651" s="6"/>
      <c r="K651" s="6"/>
      <c r="L651" s="6"/>
    </row>
    <row r="652">
      <c r="B652" s="8"/>
      <c r="C652" s="8"/>
      <c r="G652" s="6"/>
      <c r="H652" s="6"/>
      <c r="I652" s="6"/>
      <c r="J652" s="6"/>
      <c r="K652" s="6"/>
      <c r="L652" s="6"/>
    </row>
    <row r="653">
      <c r="B653" s="8"/>
      <c r="C653" s="8"/>
      <c r="G653" s="6"/>
      <c r="H653" s="6"/>
      <c r="I653" s="6"/>
      <c r="J653" s="6"/>
      <c r="K653" s="6"/>
      <c r="L653" s="6"/>
    </row>
    <row r="654">
      <c r="B654" s="8"/>
      <c r="C654" s="8"/>
      <c r="G654" s="6"/>
      <c r="H654" s="6"/>
      <c r="I654" s="6"/>
      <c r="J654" s="6"/>
      <c r="K654" s="6"/>
      <c r="L654" s="6"/>
    </row>
    <row r="655">
      <c r="B655" s="8"/>
      <c r="C655" s="8"/>
      <c r="G655" s="6"/>
      <c r="H655" s="6"/>
      <c r="I655" s="6"/>
      <c r="J655" s="6"/>
      <c r="K655" s="6"/>
      <c r="L655" s="6"/>
    </row>
    <row r="656">
      <c r="B656" s="8"/>
      <c r="C656" s="8"/>
      <c r="G656" s="6"/>
      <c r="H656" s="6"/>
      <c r="I656" s="6"/>
      <c r="J656" s="6"/>
      <c r="K656" s="6"/>
      <c r="L656" s="6"/>
    </row>
    <row r="657">
      <c r="B657" s="8"/>
      <c r="C657" s="8"/>
      <c r="G657" s="6"/>
      <c r="H657" s="6"/>
      <c r="I657" s="6"/>
      <c r="J657" s="6"/>
      <c r="K657" s="6"/>
      <c r="L657" s="6"/>
    </row>
    <row r="658">
      <c r="B658" s="8"/>
      <c r="C658" s="8"/>
      <c r="G658" s="6"/>
      <c r="H658" s="6"/>
      <c r="I658" s="6"/>
      <c r="J658" s="6"/>
      <c r="K658" s="6"/>
      <c r="L658" s="6"/>
    </row>
    <row r="659">
      <c r="B659" s="8"/>
      <c r="C659" s="8"/>
      <c r="G659" s="6"/>
      <c r="H659" s="6"/>
      <c r="I659" s="6"/>
      <c r="J659" s="6"/>
      <c r="K659" s="6"/>
      <c r="L659" s="6"/>
    </row>
    <row r="660">
      <c r="B660" s="8"/>
      <c r="C660" s="8"/>
      <c r="G660" s="6"/>
      <c r="H660" s="6"/>
      <c r="I660" s="6"/>
      <c r="J660" s="6"/>
      <c r="K660" s="6"/>
      <c r="L660" s="6"/>
    </row>
    <row r="661">
      <c r="B661" s="8"/>
      <c r="C661" s="8"/>
      <c r="G661" s="6"/>
      <c r="H661" s="6"/>
      <c r="I661" s="6"/>
      <c r="J661" s="6"/>
      <c r="K661" s="6"/>
      <c r="L661" s="6"/>
    </row>
    <row r="662">
      <c r="B662" s="8"/>
      <c r="C662" s="8"/>
      <c r="G662" s="6"/>
      <c r="H662" s="6"/>
      <c r="I662" s="6"/>
      <c r="J662" s="6"/>
      <c r="K662" s="6"/>
      <c r="L662" s="6"/>
    </row>
    <row r="663">
      <c r="B663" s="8"/>
      <c r="C663" s="8"/>
      <c r="G663" s="6"/>
      <c r="H663" s="6"/>
      <c r="I663" s="6"/>
      <c r="J663" s="6"/>
      <c r="K663" s="6"/>
      <c r="L663" s="6"/>
    </row>
    <row r="664">
      <c r="B664" s="8"/>
      <c r="C664" s="8"/>
      <c r="G664" s="6"/>
      <c r="H664" s="6"/>
      <c r="I664" s="6"/>
      <c r="J664" s="6"/>
      <c r="K664" s="6"/>
      <c r="L664" s="6"/>
    </row>
    <row r="665">
      <c r="B665" s="8"/>
      <c r="C665" s="8"/>
      <c r="G665" s="6"/>
      <c r="H665" s="6"/>
      <c r="I665" s="6"/>
      <c r="J665" s="6"/>
      <c r="K665" s="6"/>
      <c r="L665" s="6"/>
    </row>
    <row r="666">
      <c r="B666" s="8"/>
      <c r="C666" s="8"/>
      <c r="G666" s="6"/>
      <c r="H666" s="6"/>
      <c r="I666" s="6"/>
      <c r="J666" s="6"/>
      <c r="K666" s="6"/>
      <c r="L666" s="6"/>
    </row>
    <row r="667">
      <c r="B667" s="8"/>
      <c r="C667" s="8"/>
      <c r="G667" s="6"/>
      <c r="H667" s="6"/>
      <c r="I667" s="6"/>
      <c r="J667" s="6"/>
      <c r="K667" s="6"/>
      <c r="L667" s="6"/>
    </row>
    <row r="668">
      <c r="B668" s="8"/>
      <c r="C668" s="8"/>
      <c r="G668" s="6"/>
      <c r="H668" s="6"/>
      <c r="I668" s="6"/>
      <c r="J668" s="6"/>
      <c r="K668" s="6"/>
      <c r="L668" s="6"/>
    </row>
    <row r="669">
      <c r="B669" s="8"/>
      <c r="C669" s="8"/>
      <c r="G669" s="6"/>
      <c r="H669" s="6"/>
      <c r="I669" s="6"/>
      <c r="J669" s="6"/>
      <c r="K669" s="6"/>
      <c r="L669" s="6"/>
    </row>
    <row r="670">
      <c r="B670" s="8"/>
      <c r="C670" s="8"/>
      <c r="G670" s="6"/>
      <c r="H670" s="6"/>
      <c r="I670" s="6"/>
      <c r="J670" s="6"/>
      <c r="K670" s="6"/>
      <c r="L670" s="6"/>
    </row>
    <row r="671">
      <c r="B671" s="8"/>
      <c r="C671" s="8"/>
      <c r="G671" s="6"/>
      <c r="H671" s="6"/>
      <c r="I671" s="6"/>
      <c r="J671" s="6"/>
      <c r="K671" s="6"/>
      <c r="L671" s="6"/>
    </row>
    <row r="672">
      <c r="B672" s="8"/>
      <c r="C672" s="8"/>
      <c r="G672" s="6"/>
      <c r="H672" s="6"/>
      <c r="I672" s="6"/>
      <c r="J672" s="6"/>
      <c r="K672" s="6"/>
      <c r="L672" s="6"/>
    </row>
    <row r="673">
      <c r="B673" s="8"/>
      <c r="C673" s="8"/>
      <c r="G673" s="6"/>
      <c r="H673" s="6"/>
      <c r="I673" s="6"/>
      <c r="J673" s="6"/>
      <c r="K673" s="6"/>
      <c r="L673" s="6"/>
    </row>
    <row r="674">
      <c r="B674" s="8"/>
      <c r="C674" s="8"/>
      <c r="G674" s="6"/>
      <c r="H674" s="6"/>
      <c r="I674" s="6"/>
      <c r="J674" s="6"/>
      <c r="K674" s="6"/>
      <c r="L674" s="6"/>
    </row>
    <row r="675">
      <c r="B675" s="8"/>
      <c r="C675" s="8"/>
      <c r="G675" s="6"/>
      <c r="H675" s="6"/>
      <c r="I675" s="6"/>
      <c r="J675" s="6"/>
      <c r="K675" s="6"/>
      <c r="L675" s="6"/>
    </row>
    <row r="676">
      <c r="B676" s="8"/>
      <c r="C676" s="8"/>
      <c r="G676" s="6"/>
      <c r="H676" s="6"/>
      <c r="I676" s="6"/>
      <c r="J676" s="6"/>
      <c r="K676" s="6"/>
      <c r="L676" s="6"/>
    </row>
    <row r="677">
      <c r="B677" s="8"/>
      <c r="C677" s="8"/>
      <c r="G677" s="6"/>
      <c r="H677" s="6"/>
      <c r="I677" s="6"/>
      <c r="J677" s="6"/>
      <c r="K677" s="6"/>
      <c r="L677" s="6"/>
    </row>
    <row r="678">
      <c r="B678" s="8"/>
      <c r="C678" s="8"/>
      <c r="G678" s="6"/>
      <c r="H678" s="6"/>
      <c r="I678" s="6"/>
      <c r="J678" s="6"/>
      <c r="K678" s="6"/>
      <c r="L678" s="6"/>
    </row>
    <row r="679">
      <c r="B679" s="8"/>
      <c r="C679" s="8"/>
      <c r="G679" s="6"/>
      <c r="H679" s="6"/>
      <c r="I679" s="6"/>
      <c r="J679" s="6"/>
      <c r="K679" s="6"/>
      <c r="L679" s="6"/>
    </row>
    <row r="680">
      <c r="B680" s="8"/>
      <c r="C680" s="8"/>
      <c r="G680" s="6"/>
      <c r="H680" s="6"/>
      <c r="I680" s="6"/>
      <c r="J680" s="6"/>
      <c r="K680" s="6"/>
      <c r="L680" s="6"/>
    </row>
    <row r="681">
      <c r="B681" s="8"/>
      <c r="C681" s="8"/>
      <c r="G681" s="6"/>
      <c r="H681" s="6"/>
      <c r="I681" s="6"/>
      <c r="J681" s="6"/>
      <c r="K681" s="6"/>
      <c r="L681" s="6"/>
    </row>
    <row r="682">
      <c r="B682" s="8"/>
      <c r="C682" s="8"/>
      <c r="G682" s="6"/>
      <c r="H682" s="6"/>
      <c r="I682" s="6"/>
      <c r="J682" s="6"/>
      <c r="K682" s="6"/>
      <c r="L682" s="6"/>
    </row>
    <row r="683">
      <c r="B683" s="8"/>
      <c r="C683" s="8"/>
      <c r="G683" s="6"/>
      <c r="H683" s="6"/>
      <c r="I683" s="6"/>
      <c r="J683" s="6"/>
      <c r="K683" s="6"/>
      <c r="L683" s="6"/>
    </row>
    <row r="684">
      <c r="B684" s="8"/>
      <c r="C684" s="8"/>
      <c r="G684" s="6"/>
      <c r="H684" s="6"/>
      <c r="I684" s="6"/>
      <c r="J684" s="6"/>
      <c r="K684" s="6"/>
      <c r="L684" s="6"/>
    </row>
    <row r="685">
      <c r="B685" s="8"/>
      <c r="C685" s="8"/>
      <c r="G685" s="6"/>
      <c r="H685" s="6"/>
      <c r="I685" s="6"/>
      <c r="J685" s="6"/>
      <c r="K685" s="6"/>
      <c r="L685" s="6"/>
    </row>
    <row r="686">
      <c r="B686" s="8"/>
      <c r="C686" s="8"/>
      <c r="G686" s="6"/>
      <c r="H686" s="6"/>
      <c r="I686" s="6"/>
      <c r="J686" s="6"/>
      <c r="K686" s="6"/>
      <c r="L686" s="6"/>
    </row>
    <row r="687">
      <c r="B687" s="8"/>
      <c r="C687" s="8"/>
      <c r="G687" s="6"/>
      <c r="H687" s="6"/>
      <c r="I687" s="6"/>
      <c r="J687" s="6"/>
      <c r="K687" s="6"/>
      <c r="L687" s="6"/>
    </row>
    <row r="688">
      <c r="B688" s="8"/>
      <c r="C688" s="8"/>
      <c r="G688" s="6"/>
      <c r="H688" s="6"/>
      <c r="I688" s="6"/>
      <c r="J688" s="6"/>
      <c r="K688" s="6"/>
      <c r="L688" s="6"/>
    </row>
    <row r="689">
      <c r="B689" s="8"/>
      <c r="C689" s="8"/>
      <c r="G689" s="6"/>
      <c r="H689" s="6"/>
      <c r="I689" s="6"/>
      <c r="J689" s="6"/>
      <c r="K689" s="6"/>
      <c r="L689" s="6"/>
    </row>
    <row r="690">
      <c r="B690" s="8"/>
      <c r="C690" s="8"/>
      <c r="G690" s="6"/>
      <c r="H690" s="6"/>
      <c r="I690" s="6"/>
      <c r="J690" s="6"/>
      <c r="K690" s="6"/>
      <c r="L690" s="6"/>
    </row>
    <row r="691">
      <c r="B691" s="8"/>
      <c r="C691" s="8"/>
      <c r="G691" s="6"/>
      <c r="H691" s="6"/>
      <c r="I691" s="6"/>
      <c r="J691" s="6"/>
      <c r="K691" s="6"/>
      <c r="L691" s="6"/>
    </row>
    <row r="692">
      <c r="B692" s="8"/>
      <c r="C692" s="8"/>
      <c r="G692" s="6"/>
      <c r="H692" s="6"/>
      <c r="I692" s="6"/>
      <c r="J692" s="6"/>
      <c r="K692" s="6"/>
      <c r="L692" s="6"/>
    </row>
    <row r="693">
      <c r="B693" s="8"/>
      <c r="C693" s="8"/>
      <c r="G693" s="6"/>
      <c r="H693" s="6"/>
      <c r="I693" s="6"/>
      <c r="J693" s="6"/>
      <c r="K693" s="6"/>
      <c r="L693" s="6"/>
    </row>
    <row r="694">
      <c r="B694" s="8"/>
      <c r="C694" s="8"/>
      <c r="G694" s="6"/>
      <c r="H694" s="6"/>
      <c r="I694" s="6"/>
      <c r="J694" s="6"/>
      <c r="K694" s="6"/>
      <c r="L694" s="6"/>
    </row>
    <row r="695">
      <c r="B695" s="8"/>
      <c r="C695" s="8"/>
      <c r="G695" s="6"/>
      <c r="H695" s="6"/>
      <c r="I695" s="6"/>
      <c r="J695" s="6"/>
      <c r="K695" s="6"/>
      <c r="L695" s="6"/>
    </row>
    <row r="696">
      <c r="B696" s="8"/>
      <c r="C696" s="8"/>
      <c r="G696" s="6"/>
      <c r="H696" s="6"/>
      <c r="I696" s="6"/>
      <c r="J696" s="6"/>
      <c r="K696" s="6"/>
      <c r="L696" s="6"/>
    </row>
    <row r="697">
      <c r="B697" s="8"/>
      <c r="C697" s="8"/>
      <c r="G697" s="6"/>
      <c r="H697" s="6"/>
      <c r="I697" s="6"/>
      <c r="J697" s="6"/>
      <c r="K697" s="6"/>
      <c r="L697" s="6"/>
    </row>
    <row r="698">
      <c r="B698" s="8"/>
      <c r="C698" s="8"/>
      <c r="G698" s="6"/>
      <c r="H698" s="6"/>
      <c r="I698" s="6"/>
      <c r="J698" s="6"/>
      <c r="K698" s="6"/>
      <c r="L698" s="6"/>
    </row>
    <row r="699">
      <c r="B699" s="8"/>
      <c r="C699" s="8"/>
      <c r="G699" s="6"/>
      <c r="H699" s="6"/>
      <c r="I699" s="6"/>
      <c r="J699" s="6"/>
      <c r="K699" s="6"/>
      <c r="L699" s="6"/>
    </row>
    <row r="700">
      <c r="B700" s="8"/>
      <c r="C700" s="8"/>
      <c r="G700" s="6"/>
      <c r="H700" s="6"/>
      <c r="I700" s="6"/>
      <c r="J700" s="6"/>
      <c r="K700" s="6"/>
      <c r="L700" s="6"/>
    </row>
    <row r="701">
      <c r="B701" s="8"/>
      <c r="C701" s="8"/>
      <c r="G701" s="6"/>
      <c r="H701" s="6"/>
      <c r="I701" s="6"/>
      <c r="J701" s="6"/>
      <c r="K701" s="6"/>
      <c r="L701" s="6"/>
    </row>
    <row r="702">
      <c r="B702" s="8"/>
      <c r="C702" s="8"/>
      <c r="G702" s="6"/>
      <c r="H702" s="6"/>
      <c r="I702" s="6"/>
      <c r="J702" s="6"/>
      <c r="K702" s="6"/>
      <c r="L702" s="6"/>
    </row>
    <row r="703">
      <c r="B703" s="8"/>
      <c r="C703" s="8"/>
      <c r="G703" s="6"/>
      <c r="H703" s="6"/>
      <c r="I703" s="6"/>
      <c r="J703" s="6"/>
      <c r="K703" s="6"/>
      <c r="L703" s="6"/>
    </row>
    <row r="704">
      <c r="B704" s="8"/>
      <c r="C704" s="8"/>
      <c r="G704" s="6"/>
      <c r="H704" s="6"/>
      <c r="I704" s="6"/>
      <c r="J704" s="6"/>
      <c r="K704" s="6"/>
      <c r="L704" s="6"/>
    </row>
    <row r="705">
      <c r="B705" s="8"/>
      <c r="C705" s="8"/>
      <c r="G705" s="6"/>
      <c r="H705" s="6"/>
      <c r="I705" s="6"/>
      <c r="J705" s="6"/>
      <c r="K705" s="6"/>
      <c r="L705" s="6"/>
    </row>
    <row r="706">
      <c r="B706" s="8"/>
      <c r="C706" s="8"/>
      <c r="G706" s="6"/>
      <c r="H706" s="6"/>
      <c r="I706" s="6"/>
      <c r="J706" s="6"/>
      <c r="K706" s="6"/>
      <c r="L706" s="6"/>
    </row>
    <row r="707">
      <c r="B707" s="8"/>
      <c r="C707" s="8"/>
      <c r="G707" s="6"/>
      <c r="H707" s="6"/>
      <c r="I707" s="6"/>
      <c r="J707" s="6"/>
      <c r="K707" s="6"/>
      <c r="L707" s="6"/>
    </row>
    <row r="708">
      <c r="B708" s="8"/>
      <c r="C708" s="8"/>
      <c r="G708" s="6"/>
      <c r="H708" s="6"/>
      <c r="I708" s="6"/>
      <c r="J708" s="6"/>
      <c r="K708" s="6"/>
      <c r="L708" s="6"/>
    </row>
    <row r="709">
      <c r="B709" s="8"/>
      <c r="C709" s="8"/>
      <c r="G709" s="6"/>
      <c r="H709" s="6"/>
      <c r="I709" s="6"/>
      <c r="J709" s="6"/>
      <c r="K709" s="6"/>
      <c r="L709" s="6"/>
    </row>
    <row r="710">
      <c r="B710" s="8"/>
      <c r="C710" s="8"/>
      <c r="G710" s="6"/>
      <c r="H710" s="6"/>
      <c r="I710" s="6"/>
      <c r="J710" s="6"/>
      <c r="K710" s="6"/>
      <c r="L710" s="6"/>
    </row>
    <row r="711">
      <c r="B711" s="8"/>
      <c r="C711" s="8"/>
      <c r="G711" s="6"/>
      <c r="H711" s="6"/>
      <c r="I711" s="6"/>
      <c r="J711" s="6"/>
      <c r="K711" s="6"/>
      <c r="L711" s="6"/>
    </row>
    <row r="712">
      <c r="B712" s="8"/>
      <c r="C712" s="8"/>
      <c r="G712" s="6"/>
      <c r="H712" s="6"/>
      <c r="I712" s="6"/>
      <c r="J712" s="6"/>
      <c r="K712" s="6"/>
      <c r="L712" s="6"/>
    </row>
    <row r="713">
      <c r="B713" s="8"/>
      <c r="C713" s="8"/>
      <c r="G713" s="6"/>
      <c r="H713" s="6"/>
      <c r="I713" s="6"/>
      <c r="J713" s="6"/>
      <c r="K713" s="6"/>
      <c r="L713" s="6"/>
    </row>
    <row r="714">
      <c r="B714" s="8"/>
      <c r="C714" s="8"/>
      <c r="G714" s="6"/>
      <c r="H714" s="6"/>
      <c r="I714" s="6"/>
      <c r="J714" s="6"/>
      <c r="K714" s="6"/>
      <c r="L714" s="6"/>
    </row>
    <row r="715">
      <c r="B715" s="8"/>
      <c r="C715" s="8"/>
      <c r="G715" s="6"/>
      <c r="H715" s="6"/>
      <c r="I715" s="6"/>
      <c r="J715" s="6"/>
      <c r="K715" s="6"/>
      <c r="L715" s="6"/>
    </row>
    <row r="716">
      <c r="B716" s="8"/>
      <c r="C716" s="8"/>
      <c r="G716" s="6"/>
      <c r="H716" s="6"/>
      <c r="I716" s="6"/>
      <c r="J716" s="6"/>
      <c r="K716" s="6"/>
      <c r="L716" s="6"/>
    </row>
    <row r="717">
      <c r="B717" s="8"/>
      <c r="C717" s="8"/>
      <c r="G717" s="6"/>
      <c r="H717" s="6"/>
      <c r="I717" s="6"/>
      <c r="J717" s="6"/>
      <c r="K717" s="6"/>
      <c r="L717" s="6"/>
    </row>
    <row r="718">
      <c r="B718" s="8"/>
      <c r="C718" s="8"/>
      <c r="G718" s="6"/>
      <c r="H718" s="6"/>
      <c r="I718" s="6"/>
      <c r="J718" s="6"/>
      <c r="K718" s="6"/>
      <c r="L718" s="6"/>
    </row>
    <row r="719">
      <c r="B719" s="8"/>
      <c r="C719" s="8"/>
      <c r="G719" s="6"/>
      <c r="H719" s="6"/>
      <c r="I719" s="6"/>
      <c r="J719" s="6"/>
      <c r="K719" s="6"/>
      <c r="L719" s="6"/>
    </row>
    <row r="720">
      <c r="B720" s="8"/>
      <c r="C720" s="8"/>
      <c r="G720" s="6"/>
      <c r="H720" s="6"/>
      <c r="I720" s="6"/>
      <c r="J720" s="6"/>
      <c r="K720" s="6"/>
      <c r="L720" s="6"/>
    </row>
    <row r="721">
      <c r="B721" s="8"/>
      <c r="C721" s="8"/>
      <c r="G721" s="6"/>
      <c r="H721" s="6"/>
      <c r="I721" s="6"/>
      <c r="J721" s="6"/>
      <c r="K721" s="6"/>
      <c r="L721" s="6"/>
    </row>
    <row r="722">
      <c r="B722" s="8"/>
      <c r="C722" s="8"/>
      <c r="G722" s="6"/>
      <c r="H722" s="6"/>
      <c r="I722" s="6"/>
      <c r="J722" s="6"/>
      <c r="K722" s="6"/>
      <c r="L722" s="6"/>
    </row>
    <row r="723">
      <c r="B723" s="8"/>
      <c r="C723" s="8"/>
      <c r="G723" s="6"/>
      <c r="H723" s="6"/>
      <c r="I723" s="6"/>
      <c r="J723" s="6"/>
      <c r="K723" s="6"/>
      <c r="L723" s="6"/>
    </row>
    <row r="724">
      <c r="B724" s="8"/>
      <c r="C724" s="8"/>
      <c r="G724" s="6"/>
      <c r="H724" s="6"/>
      <c r="I724" s="6"/>
      <c r="J724" s="6"/>
      <c r="K724" s="6"/>
      <c r="L724" s="6"/>
    </row>
    <row r="725">
      <c r="B725" s="8"/>
      <c r="C725" s="8"/>
      <c r="G725" s="6"/>
      <c r="H725" s="6"/>
      <c r="I725" s="6"/>
      <c r="J725" s="6"/>
      <c r="K725" s="6"/>
      <c r="L725" s="6"/>
    </row>
    <row r="726">
      <c r="B726" s="8"/>
      <c r="C726" s="8"/>
      <c r="G726" s="6"/>
      <c r="H726" s="6"/>
      <c r="I726" s="6"/>
      <c r="J726" s="6"/>
      <c r="K726" s="6"/>
      <c r="L726" s="6"/>
    </row>
    <row r="727">
      <c r="B727" s="8"/>
      <c r="C727" s="8"/>
      <c r="G727" s="6"/>
      <c r="H727" s="6"/>
      <c r="I727" s="6"/>
      <c r="J727" s="6"/>
      <c r="K727" s="6"/>
      <c r="L727" s="6"/>
    </row>
    <row r="728">
      <c r="B728" s="8"/>
      <c r="C728" s="8"/>
      <c r="G728" s="6"/>
      <c r="H728" s="6"/>
      <c r="I728" s="6"/>
      <c r="J728" s="6"/>
      <c r="K728" s="6"/>
      <c r="L728" s="6"/>
    </row>
    <row r="729">
      <c r="B729" s="8"/>
      <c r="C729" s="8"/>
      <c r="G729" s="6"/>
      <c r="H729" s="6"/>
      <c r="I729" s="6"/>
      <c r="J729" s="6"/>
      <c r="K729" s="6"/>
      <c r="L729" s="6"/>
    </row>
    <row r="730">
      <c r="B730" s="8"/>
      <c r="C730" s="8"/>
      <c r="G730" s="6"/>
      <c r="H730" s="6"/>
      <c r="I730" s="6"/>
      <c r="J730" s="6"/>
      <c r="K730" s="6"/>
      <c r="L730" s="6"/>
    </row>
    <row r="731">
      <c r="B731" s="8"/>
      <c r="C731" s="8"/>
      <c r="G731" s="6"/>
      <c r="H731" s="6"/>
      <c r="I731" s="6"/>
      <c r="J731" s="6"/>
      <c r="K731" s="6"/>
      <c r="L731" s="6"/>
    </row>
    <row r="732">
      <c r="B732" s="8"/>
      <c r="C732" s="8"/>
      <c r="G732" s="6"/>
      <c r="H732" s="6"/>
      <c r="I732" s="6"/>
      <c r="J732" s="6"/>
      <c r="K732" s="6"/>
      <c r="L732" s="6"/>
    </row>
    <row r="733">
      <c r="B733" s="8"/>
      <c r="C733" s="8"/>
      <c r="G733" s="6"/>
      <c r="H733" s="6"/>
      <c r="I733" s="6"/>
      <c r="J733" s="6"/>
      <c r="K733" s="6"/>
      <c r="L733" s="6"/>
    </row>
    <row r="734">
      <c r="B734" s="8"/>
      <c r="C734" s="8"/>
      <c r="G734" s="6"/>
      <c r="H734" s="6"/>
      <c r="I734" s="6"/>
      <c r="J734" s="6"/>
      <c r="K734" s="6"/>
      <c r="L734" s="6"/>
    </row>
    <row r="735">
      <c r="B735" s="8"/>
      <c r="C735" s="8"/>
      <c r="G735" s="6"/>
      <c r="H735" s="6"/>
      <c r="I735" s="6"/>
      <c r="J735" s="6"/>
      <c r="K735" s="6"/>
      <c r="L735" s="6"/>
    </row>
    <row r="736">
      <c r="B736" s="8"/>
      <c r="C736" s="8"/>
      <c r="G736" s="6"/>
      <c r="H736" s="6"/>
      <c r="I736" s="6"/>
      <c r="J736" s="6"/>
      <c r="K736" s="6"/>
      <c r="L736" s="6"/>
    </row>
    <row r="737">
      <c r="B737" s="8"/>
      <c r="C737" s="8"/>
      <c r="G737" s="6"/>
      <c r="H737" s="6"/>
      <c r="I737" s="6"/>
      <c r="J737" s="6"/>
      <c r="K737" s="6"/>
      <c r="L737" s="6"/>
    </row>
    <row r="738">
      <c r="B738" s="8"/>
      <c r="C738" s="8"/>
      <c r="G738" s="6"/>
      <c r="H738" s="6"/>
      <c r="I738" s="6"/>
      <c r="J738" s="6"/>
      <c r="K738" s="6"/>
      <c r="L738" s="6"/>
    </row>
    <row r="739">
      <c r="B739" s="8"/>
      <c r="C739" s="8"/>
      <c r="G739" s="6"/>
      <c r="H739" s="6"/>
      <c r="I739" s="6"/>
      <c r="J739" s="6"/>
      <c r="K739" s="6"/>
      <c r="L739" s="6"/>
    </row>
    <row r="740">
      <c r="B740" s="8"/>
      <c r="C740" s="8"/>
      <c r="G740" s="6"/>
      <c r="H740" s="6"/>
      <c r="I740" s="6"/>
      <c r="J740" s="6"/>
      <c r="K740" s="6"/>
      <c r="L740" s="6"/>
    </row>
    <row r="741">
      <c r="B741" s="8"/>
      <c r="C741" s="8"/>
      <c r="G741" s="6"/>
      <c r="H741" s="6"/>
      <c r="I741" s="6"/>
      <c r="J741" s="6"/>
      <c r="K741" s="6"/>
      <c r="L741" s="6"/>
    </row>
    <row r="742">
      <c r="B742" s="8"/>
      <c r="C742" s="8"/>
      <c r="G742" s="6"/>
      <c r="H742" s="6"/>
      <c r="I742" s="6"/>
      <c r="J742" s="6"/>
      <c r="K742" s="6"/>
      <c r="L742" s="6"/>
    </row>
    <row r="743">
      <c r="B743" s="8"/>
      <c r="C743" s="8"/>
      <c r="G743" s="6"/>
      <c r="H743" s="6"/>
      <c r="I743" s="6"/>
      <c r="J743" s="6"/>
      <c r="K743" s="6"/>
      <c r="L743" s="6"/>
    </row>
    <row r="744">
      <c r="B744" s="8"/>
      <c r="C744" s="8"/>
      <c r="G744" s="6"/>
      <c r="H744" s="6"/>
      <c r="I744" s="6"/>
      <c r="J744" s="6"/>
      <c r="K744" s="6"/>
      <c r="L744" s="6"/>
    </row>
    <row r="745">
      <c r="B745" s="8"/>
      <c r="C745" s="8"/>
      <c r="G745" s="6"/>
      <c r="H745" s="6"/>
      <c r="I745" s="6"/>
      <c r="J745" s="6"/>
      <c r="K745" s="6"/>
      <c r="L745" s="6"/>
    </row>
    <row r="746">
      <c r="B746" s="8"/>
      <c r="C746" s="8"/>
      <c r="G746" s="6"/>
      <c r="H746" s="6"/>
      <c r="I746" s="6"/>
      <c r="J746" s="6"/>
      <c r="K746" s="6"/>
      <c r="L746" s="6"/>
    </row>
    <row r="747">
      <c r="B747" s="8"/>
      <c r="C747" s="8"/>
      <c r="G747" s="6"/>
      <c r="H747" s="6"/>
      <c r="I747" s="6"/>
      <c r="J747" s="6"/>
      <c r="K747" s="6"/>
      <c r="L747" s="6"/>
    </row>
    <row r="748">
      <c r="B748" s="8"/>
      <c r="C748" s="8"/>
      <c r="G748" s="6"/>
      <c r="H748" s="6"/>
      <c r="I748" s="6"/>
      <c r="J748" s="6"/>
      <c r="K748" s="6"/>
      <c r="L748" s="6"/>
    </row>
    <row r="749">
      <c r="B749" s="8"/>
      <c r="C749" s="8"/>
      <c r="G749" s="6"/>
      <c r="H749" s="6"/>
      <c r="I749" s="6"/>
      <c r="J749" s="6"/>
      <c r="K749" s="6"/>
      <c r="L749" s="6"/>
    </row>
    <row r="750">
      <c r="B750" s="8"/>
      <c r="C750" s="8"/>
      <c r="G750" s="6"/>
      <c r="H750" s="6"/>
      <c r="I750" s="6"/>
      <c r="J750" s="6"/>
      <c r="K750" s="6"/>
      <c r="L750" s="6"/>
    </row>
    <row r="751">
      <c r="B751" s="8"/>
      <c r="C751" s="8"/>
      <c r="G751" s="6"/>
      <c r="H751" s="6"/>
      <c r="I751" s="6"/>
      <c r="J751" s="6"/>
      <c r="K751" s="6"/>
      <c r="L751" s="6"/>
    </row>
    <row r="752">
      <c r="B752" s="8"/>
      <c r="C752" s="8"/>
      <c r="G752" s="6"/>
      <c r="H752" s="6"/>
      <c r="I752" s="6"/>
      <c r="J752" s="6"/>
      <c r="K752" s="6"/>
      <c r="L752" s="6"/>
    </row>
    <row r="753">
      <c r="B753" s="8"/>
      <c r="C753" s="8"/>
      <c r="G753" s="6"/>
      <c r="H753" s="6"/>
      <c r="I753" s="6"/>
      <c r="J753" s="6"/>
      <c r="K753" s="6"/>
      <c r="L753" s="6"/>
    </row>
    <row r="754">
      <c r="B754" s="8"/>
      <c r="C754" s="8"/>
      <c r="G754" s="6"/>
      <c r="H754" s="6"/>
      <c r="I754" s="6"/>
      <c r="J754" s="6"/>
      <c r="K754" s="6"/>
      <c r="L754" s="6"/>
    </row>
    <row r="755">
      <c r="B755" s="8"/>
      <c r="C755" s="8"/>
      <c r="G755" s="6"/>
      <c r="H755" s="6"/>
      <c r="I755" s="6"/>
      <c r="J755" s="6"/>
      <c r="K755" s="6"/>
      <c r="L755" s="6"/>
    </row>
    <row r="756">
      <c r="B756" s="8"/>
      <c r="C756" s="8"/>
      <c r="G756" s="6"/>
      <c r="H756" s="6"/>
      <c r="I756" s="6"/>
      <c r="J756" s="6"/>
      <c r="K756" s="6"/>
      <c r="L756" s="6"/>
    </row>
    <row r="757">
      <c r="B757" s="8"/>
      <c r="C757" s="8"/>
      <c r="G757" s="6"/>
      <c r="H757" s="6"/>
      <c r="I757" s="6"/>
      <c r="J757" s="6"/>
      <c r="K757" s="6"/>
      <c r="L757" s="6"/>
    </row>
    <row r="758">
      <c r="B758" s="8"/>
      <c r="C758" s="8"/>
      <c r="G758" s="6"/>
      <c r="H758" s="6"/>
      <c r="I758" s="6"/>
      <c r="J758" s="6"/>
      <c r="K758" s="6"/>
      <c r="L758" s="6"/>
    </row>
    <row r="759">
      <c r="B759" s="8"/>
      <c r="C759" s="8"/>
      <c r="G759" s="6"/>
      <c r="H759" s="6"/>
      <c r="I759" s="6"/>
      <c r="J759" s="6"/>
      <c r="K759" s="6"/>
      <c r="L759" s="6"/>
    </row>
    <row r="760">
      <c r="B760" s="8"/>
      <c r="C760" s="8"/>
      <c r="G760" s="6"/>
      <c r="H760" s="6"/>
      <c r="I760" s="6"/>
      <c r="J760" s="6"/>
      <c r="K760" s="6"/>
      <c r="L760" s="6"/>
    </row>
    <row r="761">
      <c r="B761" s="8"/>
      <c r="C761" s="8"/>
      <c r="G761" s="6"/>
      <c r="H761" s="6"/>
      <c r="I761" s="6"/>
      <c r="J761" s="6"/>
      <c r="K761" s="6"/>
      <c r="L761" s="6"/>
    </row>
    <row r="762">
      <c r="B762" s="8"/>
      <c r="C762" s="8"/>
      <c r="G762" s="6"/>
      <c r="H762" s="6"/>
      <c r="I762" s="6"/>
      <c r="J762" s="6"/>
      <c r="K762" s="6"/>
      <c r="L762" s="6"/>
    </row>
    <row r="763">
      <c r="B763" s="8"/>
      <c r="C763" s="8"/>
      <c r="G763" s="6"/>
      <c r="H763" s="6"/>
      <c r="I763" s="6"/>
      <c r="J763" s="6"/>
      <c r="K763" s="6"/>
      <c r="L763" s="6"/>
    </row>
    <row r="764">
      <c r="B764" s="8"/>
      <c r="C764" s="8"/>
      <c r="G764" s="6"/>
      <c r="H764" s="6"/>
      <c r="I764" s="6"/>
      <c r="J764" s="6"/>
      <c r="K764" s="6"/>
      <c r="L764" s="6"/>
    </row>
    <row r="765">
      <c r="B765" s="8"/>
      <c r="C765" s="8"/>
      <c r="G765" s="6"/>
      <c r="H765" s="6"/>
      <c r="I765" s="6"/>
      <c r="J765" s="6"/>
      <c r="K765" s="6"/>
      <c r="L765" s="6"/>
    </row>
    <row r="766">
      <c r="B766" s="8"/>
      <c r="C766" s="8"/>
      <c r="G766" s="6"/>
      <c r="H766" s="6"/>
      <c r="I766" s="6"/>
      <c r="J766" s="6"/>
      <c r="K766" s="6"/>
      <c r="L766" s="6"/>
    </row>
    <row r="767">
      <c r="B767" s="8"/>
      <c r="C767" s="8"/>
      <c r="G767" s="6"/>
      <c r="H767" s="6"/>
      <c r="I767" s="6"/>
      <c r="J767" s="6"/>
      <c r="K767" s="6"/>
      <c r="L767" s="6"/>
    </row>
    <row r="768">
      <c r="B768" s="8"/>
      <c r="C768" s="8"/>
      <c r="G768" s="6"/>
      <c r="H768" s="6"/>
      <c r="I768" s="6"/>
      <c r="J768" s="6"/>
      <c r="K768" s="6"/>
      <c r="L768" s="6"/>
    </row>
    <row r="769">
      <c r="B769" s="8"/>
      <c r="C769" s="8"/>
      <c r="G769" s="6"/>
      <c r="H769" s="6"/>
      <c r="I769" s="6"/>
      <c r="J769" s="6"/>
      <c r="K769" s="6"/>
      <c r="L769" s="6"/>
    </row>
    <row r="770">
      <c r="B770" s="8"/>
      <c r="C770" s="8"/>
      <c r="G770" s="6"/>
      <c r="H770" s="6"/>
      <c r="I770" s="6"/>
      <c r="J770" s="6"/>
      <c r="K770" s="6"/>
      <c r="L770" s="6"/>
    </row>
    <row r="771">
      <c r="B771" s="8"/>
      <c r="C771" s="8"/>
      <c r="G771" s="6"/>
      <c r="H771" s="6"/>
      <c r="I771" s="6"/>
      <c r="J771" s="6"/>
      <c r="K771" s="6"/>
      <c r="L771" s="6"/>
    </row>
    <row r="772">
      <c r="B772" s="8"/>
      <c r="C772" s="8"/>
      <c r="G772" s="6"/>
      <c r="H772" s="6"/>
      <c r="I772" s="6"/>
      <c r="J772" s="6"/>
      <c r="K772" s="6"/>
      <c r="L772" s="6"/>
    </row>
    <row r="773">
      <c r="B773" s="8"/>
      <c r="C773" s="8"/>
      <c r="G773" s="6"/>
      <c r="H773" s="6"/>
      <c r="I773" s="6"/>
      <c r="J773" s="6"/>
      <c r="K773" s="6"/>
      <c r="L773" s="6"/>
    </row>
    <row r="774">
      <c r="B774" s="8"/>
      <c r="C774" s="8"/>
      <c r="G774" s="6"/>
      <c r="H774" s="6"/>
      <c r="I774" s="6"/>
      <c r="J774" s="6"/>
      <c r="K774" s="6"/>
      <c r="L774" s="6"/>
    </row>
    <row r="775">
      <c r="B775" s="8"/>
      <c r="C775" s="8"/>
      <c r="G775" s="6"/>
      <c r="H775" s="6"/>
      <c r="I775" s="6"/>
      <c r="J775" s="6"/>
      <c r="K775" s="6"/>
      <c r="L775" s="6"/>
    </row>
    <row r="776">
      <c r="B776" s="8"/>
      <c r="C776" s="8"/>
      <c r="G776" s="6"/>
      <c r="H776" s="6"/>
      <c r="I776" s="6"/>
      <c r="J776" s="6"/>
      <c r="K776" s="6"/>
      <c r="L776" s="6"/>
    </row>
    <row r="777">
      <c r="B777" s="8"/>
      <c r="C777" s="8"/>
      <c r="G777" s="6"/>
      <c r="H777" s="6"/>
      <c r="I777" s="6"/>
      <c r="J777" s="6"/>
      <c r="K777" s="6"/>
      <c r="L777" s="6"/>
    </row>
    <row r="778">
      <c r="B778" s="8"/>
      <c r="C778" s="8"/>
      <c r="G778" s="6"/>
      <c r="H778" s="6"/>
      <c r="I778" s="6"/>
      <c r="J778" s="6"/>
      <c r="K778" s="6"/>
      <c r="L778" s="6"/>
    </row>
    <row r="779">
      <c r="B779" s="8"/>
      <c r="C779" s="8"/>
      <c r="G779" s="6"/>
      <c r="H779" s="6"/>
      <c r="I779" s="6"/>
      <c r="J779" s="6"/>
      <c r="K779" s="6"/>
      <c r="L779" s="6"/>
    </row>
    <row r="780">
      <c r="B780" s="8"/>
      <c r="C780" s="8"/>
      <c r="G780" s="6"/>
      <c r="H780" s="6"/>
      <c r="I780" s="6"/>
      <c r="J780" s="6"/>
      <c r="K780" s="6"/>
      <c r="L780" s="6"/>
    </row>
    <row r="781">
      <c r="B781" s="8"/>
      <c r="C781" s="8"/>
      <c r="G781" s="6"/>
      <c r="H781" s="6"/>
      <c r="I781" s="6"/>
      <c r="J781" s="6"/>
      <c r="K781" s="6"/>
      <c r="L781" s="6"/>
    </row>
    <row r="782">
      <c r="B782" s="8"/>
      <c r="C782" s="8"/>
      <c r="G782" s="6"/>
      <c r="H782" s="6"/>
      <c r="I782" s="6"/>
      <c r="J782" s="6"/>
      <c r="K782" s="6"/>
      <c r="L782" s="6"/>
    </row>
    <row r="783">
      <c r="B783" s="8"/>
      <c r="C783" s="8"/>
      <c r="G783" s="6"/>
      <c r="H783" s="6"/>
      <c r="I783" s="6"/>
      <c r="J783" s="6"/>
      <c r="K783" s="6"/>
      <c r="L783" s="6"/>
    </row>
    <row r="784">
      <c r="B784" s="8"/>
      <c r="C784" s="8"/>
      <c r="G784" s="6"/>
      <c r="H784" s="6"/>
      <c r="I784" s="6"/>
      <c r="J784" s="6"/>
      <c r="K784" s="6"/>
      <c r="L784" s="6"/>
    </row>
    <row r="785">
      <c r="B785" s="8"/>
      <c r="C785" s="8"/>
      <c r="G785" s="6"/>
      <c r="H785" s="6"/>
      <c r="I785" s="6"/>
      <c r="J785" s="6"/>
      <c r="K785" s="6"/>
      <c r="L785" s="6"/>
    </row>
    <row r="786">
      <c r="B786" s="8"/>
      <c r="C786" s="8"/>
      <c r="G786" s="6"/>
      <c r="H786" s="6"/>
      <c r="I786" s="6"/>
      <c r="J786" s="6"/>
      <c r="K786" s="6"/>
      <c r="L786" s="6"/>
    </row>
    <row r="787">
      <c r="B787" s="8"/>
      <c r="C787" s="8"/>
      <c r="G787" s="6"/>
      <c r="H787" s="6"/>
      <c r="I787" s="6"/>
      <c r="J787" s="6"/>
      <c r="K787" s="6"/>
      <c r="L787" s="6"/>
    </row>
    <row r="788">
      <c r="B788" s="8"/>
      <c r="C788" s="8"/>
      <c r="G788" s="6"/>
      <c r="H788" s="6"/>
      <c r="I788" s="6"/>
      <c r="J788" s="6"/>
      <c r="K788" s="6"/>
      <c r="L788" s="6"/>
    </row>
    <row r="789">
      <c r="B789" s="8"/>
      <c r="C789" s="8"/>
      <c r="G789" s="6"/>
      <c r="H789" s="6"/>
      <c r="I789" s="6"/>
      <c r="J789" s="6"/>
      <c r="K789" s="6"/>
      <c r="L789" s="6"/>
    </row>
    <row r="790">
      <c r="B790" s="8"/>
      <c r="C790" s="8"/>
      <c r="G790" s="6"/>
      <c r="H790" s="6"/>
      <c r="I790" s="6"/>
      <c r="J790" s="6"/>
      <c r="K790" s="6"/>
      <c r="L790" s="6"/>
    </row>
    <row r="791">
      <c r="B791" s="8"/>
      <c r="C791" s="8"/>
      <c r="G791" s="6"/>
      <c r="H791" s="6"/>
      <c r="I791" s="6"/>
      <c r="J791" s="6"/>
      <c r="K791" s="6"/>
      <c r="L791" s="6"/>
    </row>
    <row r="792">
      <c r="B792" s="8"/>
      <c r="C792" s="8"/>
      <c r="G792" s="6"/>
      <c r="H792" s="6"/>
      <c r="I792" s="6"/>
      <c r="J792" s="6"/>
      <c r="K792" s="6"/>
      <c r="L792" s="6"/>
    </row>
    <row r="793">
      <c r="B793" s="8"/>
      <c r="C793" s="8"/>
      <c r="G793" s="6"/>
      <c r="H793" s="6"/>
      <c r="I793" s="6"/>
      <c r="J793" s="6"/>
      <c r="K793" s="6"/>
      <c r="L793" s="6"/>
    </row>
    <row r="794">
      <c r="B794" s="8"/>
      <c r="C794" s="8"/>
      <c r="G794" s="6"/>
      <c r="H794" s="6"/>
      <c r="I794" s="6"/>
      <c r="J794" s="6"/>
      <c r="K794" s="6"/>
      <c r="L794" s="6"/>
    </row>
    <row r="795">
      <c r="B795" s="8"/>
      <c r="C795" s="8"/>
      <c r="G795" s="6"/>
      <c r="H795" s="6"/>
      <c r="I795" s="6"/>
      <c r="J795" s="6"/>
      <c r="K795" s="6"/>
      <c r="L795" s="6"/>
    </row>
    <row r="796">
      <c r="B796" s="8"/>
      <c r="C796" s="8"/>
      <c r="G796" s="6"/>
      <c r="H796" s="6"/>
      <c r="I796" s="6"/>
      <c r="J796" s="6"/>
      <c r="K796" s="6"/>
      <c r="L796" s="6"/>
    </row>
    <row r="797">
      <c r="B797" s="8"/>
      <c r="C797" s="8"/>
      <c r="G797" s="6"/>
      <c r="H797" s="6"/>
      <c r="I797" s="6"/>
      <c r="J797" s="6"/>
      <c r="K797" s="6"/>
      <c r="L797" s="6"/>
    </row>
    <row r="798">
      <c r="B798" s="8"/>
      <c r="C798" s="8"/>
      <c r="G798" s="6"/>
      <c r="H798" s="6"/>
      <c r="I798" s="6"/>
      <c r="J798" s="6"/>
      <c r="K798" s="6"/>
      <c r="L798" s="6"/>
    </row>
    <row r="799">
      <c r="B799" s="8"/>
      <c r="C799" s="8"/>
      <c r="G799" s="6"/>
      <c r="H799" s="6"/>
      <c r="I799" s="6"/>
      <c r="J799" s="6"/>
      <c r="K799" s="6"/>
      <c r="L799" s="6"/>
    </row>
    <row r="800">
      <c r="B800" s="8"/>
      <c r="C800" s="8"/>
      <c r="G800" s="6"/>
      <c r="H800" s="6"/>
      <c r="I800" s="6"/>
      <c r="J800" s="6"/>
      <c r="K800" s="6"/>
      <c r="L800" s="6"/>
    </row>
    <row r="801">
      <c r="B801" s="8"/>
      <c r="C801" s="8"/>
      <c r="G801" s="6"/>
      <c r="H801" s="6"/>
      <c r="I801" s="6"/>
      <c r="J801" s="6"/>
      <c r="K801" s="6"/>
      <c r="L801" s="6"/>
    </row>
    <row r="802">
      <c r="B802" s="8"/>
      <c r="C802" s="8"/>
      <c r="G802" s="6"/>
      <c r="H802" s="6"/>
      <c r="I802" s="6"/>
      <c r="J802" s="6"/>
      <c r="K802" s="6"/>
      <c r="L802" s="6"/>
    </row>
    <row r="803">
      <c r="B803" s="8"/>
      <c r="C803" s="8"/>
      <c r="G803" s="6"/>
      <c r="H803" s="6"/>
      <c r="I803" s="6"/>
      <c r="J803" s="6"/>
      <c r="K803" s="6"/>
      <c r="L803" s="6"/>
    </row>
    <row r="804">
      <c r="B804" s="8"/>
      <c r="C804" s="8"/>
      <c r="G804" s="6"/>
      <c r="H804" s="6"/>
      <c r="I804" s="6"/>
      <c r="J804" s="6"/>
      <c r="K804" s="6"/>
      <c r="L804" s="6"/>
    </row>
    <row r="805">
      <c r="B805" s="8"/>
      <c r="C805" s="8"/>
      <c r="G805" s="6"/>
      <c r="H805" s="6"/>
      <c r="I805" s="6"/>
      <c r="J805" s="6"/>
      <c r="K805" s="6"/>
      <c r="L805" s="6"/>
    </row>
    <row r="806">
      <c r="B806" s="8"/>
      <c r="C806" s="8"/>
      <c r="G806" s="6"/>
      <c r="H806" s="6"/>
      <c r="I806" s="6"/>
      <c r="J806" s="6"/>
      <c r="K806" s="6"/>
      <c r="L806" s="6"/>
    </row>
    <row r="807">
      <c r="B807" s="8"/>
      <c r="C807" s="8"/>
      <c r="G807" s="6"/>
      <c r="H807" s="6"/>
      <c r="I807" s="6"/>
      <c r="J807" s="6"/>
      <c r="K807" s="6"/>
      <c r="L807" s="6"/>
    </row>
    <row r="808">
      <c r="B808" s="8"/>
      <c r="C808" s="8"/>
      <c r="G808" s="6"/>
      <c r="H808" s="6"/>
      <c r="I808" s="6"/>
      <c r="J808" s="6"/>
      <c r="K808" s="6"/>
      <c r="L808" s="6"/>
    </row>
    <row r="809">
      <c r="B809" s="8"/>
      <c r="C809" s="8"/>
      <c r="G809" s="6"/>
      <c r="H809" s="6"/>
      <c r="I809" s="6"/>
      <c r="J809" s="6"/>
      <c r="K809" s="6"/>
      <c r="L809" s="6"/>
    </row>
    <row r="810">
      <c r="B810" s="8"/>
      <c r="C810" s="8"/>
      <c r="G810" s="6"/>
      <c r="H810" s="6"/>
      <c r="I810" s="6"/>
      <c r="J810" s="6"/>
      <c r="K810" s="6"/>
      <c r="L810" s="6"/>
    </row>
    <row r="811">
      <c r="B811" s="8"/>
      <c r="C811" s="8"/>
      <c r="G811" s="6"/>
      <c r="H811" s="6"/>
      <c r="I811" s="6"/>
      <c r="J811" s="6"/>
      <c r="K811" s="6"/>
      <c r="L811" s="6"/>
    </row>
    <row r="812">
      <c r="B812" s="8"/>
      <c r="C812" s="8"/>
      <c r="G812" s="6"/>
      <c r="H812" s="6"/>
      <c r="I812" s="6"/>
      <c r="J812" s="6"/>
      <c r="K812" s="6"/>
      <c r="L812" s="6"/>
    </row>
    <row r="813">
      <c r="B813" s="8"/>
      <c r="C813" s="8"/>
      <c r="G813" s="6"/>
      <c r="H813" s="6"/>
      <c r="I813" s="6"/>
      <c r="J813" s="6"/>
      <c r="K813" s="6"/>
      <c r="L813" s="6"/>
    </row>
    <row r="814">
      <c r="B814" s="8"/>
      <c r="C814" s="8"/>
      <c r="G814" s="6"/>
      <c r="H814" s="6"/>
      <c r="I814" s="6"/>
      <c r="J814" s="6"/>
      <c r="K814" s="6"/>
      <c r="L814" s="6"/>
    </row>
    <row r="815">
      <c r="B815" s="8"/>
      <c r="C815" s="8"/>
      <c r="G815" s="6"/>
      <c r="H815" s="6"/>
      <c r="I815" s="6"/>
      <c r="J815" s="6"/>
      <c r="K815" s="6"/>
      <c r="L815" s="6"/>
    </row>
    <row r="816">
      <c r="B816" s="8"/>
      <c r="C816" s="8"/>
      <c r="G816" s="6"/>
      <c r="H816" s="6"/>
      <c r="I816" s="6"/>
      <c r="J816" s="6"/>
      <c r="K816" s="6"/>
      <c r="L816" s="6"/>
    </row>
    <row r="817">
      <c r="B817" s="8"/>
      <c r="C817" s="8"/>
      <c r="G817" s="6"/>
      <c r="H817" s="6"/>
      <c r="I817" s="6"/>
      <c r="J817" s="6"/>
      <c r="K817" s="6"/>
      <c r="L817" s="6"/>
    </row>
    <row r="818">
      <c r="B818" s="8"/>
      <c r="C818" s="8"/>
      <c r="G818" s="6"/>
      <c r="H818" s="6"/>
      <c r="I818" s="6"/>
      <c r="J818" s="6"/>
      <c r="K818" s="6"/>
      <c r="L818" s="6"/>
    </row>
    <row r="819">
      <c r="B819" s="8"/>
      <c r="C819" s="8"/>
      <c r="G819" s="6"/>
      <c r="H819" s="6"/>
      <c r="I819" s="6"/>
      <c r="J819" s="6"/>
      <c r="K819" s="6"/>
      <c r="L819" s="6"/>
    </row>
    <row r="820">
      <c r="B820" s="8"/>
      <c r="C820" s="8"/>
      <c r="G820" s="6"/>
      <c r="H820" s="6"/>
      <c r="I820" s="6"/>
      <c r="J820" s="6"/>
      <c r="K820" s="6"/>
      <c r="L820" s="6"/>
    </row>
    <row r="821">
      <c r="B821" s="8"/>
      <c r="C821" s="8"/>
      <c r="G821" s="6"/>
      <c r="H821" s="6"/>
      <c r="I821" s="6"/>
      <c r="J821" s="6"/>
      <c r="K821" s="6"/>
      <c r="L821" s="6"/>
    </row>
    <row r="822">
      <c r="B822" s="8"/>
      <c r="C822" s="8"/>
      <c r="G822" s="6"/>
      <c r="H822" s="6"/>
      <c r="I822" s="6"/>
      <c r="J822" s="6"/>
      <c r="K822" s="6"/>
      <c r="L822" s="6"/>
    </row>
    <row r="823">
      <c r="B823" s="8"/>
      <c r="C823" s="8"/>
      <c r="G823" s="6"/>
      <c r="H823" s="6"/>
      <c r="I823" s="6"/>
      <c r="J823" s="6"/>
      <c r="K823" s="6"/>
      <c r="L823" s="6"/>
    </row>
    <row r="824">
      <c r="B824" s="8"/>
      <c r="C824" s="8"/>
      <c r="G824" s="6"/>
      <c r="H824" s="6"/>
      <c r="I824" s="6"/>
      <c r="J824" s="6"/>
      <c r="K824" s="6"/>
      <c r="L824" s="6"/>
    </row>
    <row r="825">
      <c r="B825" s="8"/>
      <c r="C825" s="8"/>
      <c r="G825" s="6"/>
      <c r="H825" s="6"/>
      <c r="I825" s="6"/>
      <c r="J825" s="6"/>
      <c r="K825" s="6"/>
      <c r="L825" s="6"/>
    </row>
    <row r="826">
      <c r="B826" s="8"/>
      <c r="C826" s="8"/>
      <c r="G826" s="6"/>
      <c r="H826" s="6"/>
      <c r="I826" s="6"/>
      <c r="J826" s="6"/>
      <c r="K826" s="6"/>
      <c r="L826" s="6"/>
    </row>
    <row r="827">
      <c r="B827" s="8"/>
      <c r="C827" s="8"/>
      <c r="G827" s="6"/>
      <c r="H827" s="6"/>
      <c r="I827" s="6"/>
      <c r="J827" s="6"/>
      <c r="K827" s="6"/>
      <c r="L827" s="6"/>
    </row>
    <row r="828">
      <c r="B828" s="8"/>
      <c r="C828" s="8"/>
      <c r="G828" s="6"/>
      <c r="H828" s="6"/>
      <c r="I828" s="6"/>
      <c r="J828" s="6"/>
      <c r="K828" s="6"/>
      <c r="L828" s="6"/>
    </row>
    <row r="829">
      <c r="B829" s="8"/>
      <c r="C829" s="8"/>
      <c r="G829" s="6"/>
      <c r="H829" s="6"/>
      <c r="I829" s="6"/>
      <c r="J829" s="6"/>
      <c r="K829" s="6"/>
      <c r="L829" s="6"/>
    </row>
    <row r="830">
      <c r="B830" s="8"/>
      <c r="C830" s="8"/>
      <c r="G830" s="6"/>
      <c r="H830" s="6"/>
      <c r="I830" s="6"/>
      <c r="J830" s="6"/>
      <c r="K830" s="6"/>
      <c r="L830" s="6"/>
    </row>
    <row r="831">
      <c r="B831" s="8"/>
      <c r="C831" s="8"/>
      <c r="G831" s="6"/>
      <c r="H831" s="6"/>
      <c r="I831" s="6"/>
      <c r="J831" s="6"/>
      <c r="K831" s="6"/>
      <c r="L831" s="6"/>
    </row>
    <row r="832">
      <c r="B832" s="8"/>
      <c r="C832" s="8"/>
      <c r="G832" s="6"/>
      <c r="H832" s="6"/>
      <c r="I832" s="6"/>
      <c r="J832" s="6"/>
      <c r="K832" s="6"/>
      <c r="L832" s="6"/>
    </row>
    <row r="833">
      <c r="B833" s="8"/>
      <c r="C833" s="8"/>
      <c r="G833" s="6"/>
      <c r="H833" s="6"/>
      <c r="I833" s="6"/>
      <c r="J833" s="6"/>
      <c r="K833" s="6"/>
      <c r="L833" s="6"/>
    </row>
    <row r="834">
      <c r="B834" s="8"/>
      <c r="C834" s="8"/>
      <c r="G834" s="6"/>
      <c r="H834" s="6"/>
      <c r="I834" s="6"/>
      <c r="J834" s="6"/>
      <c r="K834" s="6"/>
      <c r="L834" s="6"/>
    </row>
    <row r="835">
      <c r="B835" s="8"/>
      <c r="C835" s="8"/>
      <c r="G835" s="6"/>
      <c r="H835" s="6"/>
      <c r="I835" s="6"/>
      <c r="J835" s="6"/>
      <c r="K835" s="6"/>
      <c r="L835" s="6"/>
    </row>
    <row r="836">
      <c r="B836" s="8"/>
      <c r="C836" s="8"/>
      <c r="G836" s="6"/>
      <c r="H836" s="6"/>
      <c r="I836" s="6"/>
      <c r="J836" s="6"/>
      <c r="K836" s="6"/>
      <c r="L836" s="6"/>
    </row>
    <row r="837">
      <c r="B837" s="8"/>
      <c r="C837" s="8"/>
      <c r="G837" s="6"/>
      <c r="H837" s="6"/>
      <c r="I837" s="6"/>
      <c r="J837" s="6"/>
      <c r="K837" s="6"/>
      <c r="L837" s="6"/>
    </row>
    <row r="838">
      <c r="B838" s="8"/>
      <c r="C838" s="8"/>
      <c r="G838" s="6"/>
      <c r="H838" s="6"/>
      <c r="I838" s="6"/>
      <c r="J838" s="6"/>
      <c r="K838" s="6"/>
      <c r="L838" s="6"/>
    </row>
    <row r="839">
      <c r="B839" s="8"/>
      <c r="C839" s="8"/>
      <c r="G839" s="6"/>
      <c r="H839" s="6"/>
      <c r="I839" s="6"/>
      <c r="J839" s="6"/>
      <c r="K839" s="6"/>
      <c r="L839" s="6"/>
    </row>
    <row r="840">
      <c r="B840" s="8"/>
      <c r="C840" s="8"/>
      <c r="G840" s="6"/>
      <c r="H840" s="6"/>
      <c r="I840" s="6"/>
      <c r="J840" s="6"/>
      <c r="K840" s="6"/>
      <c r="L840" s="6"/>
    </row>
    <row r="841">
      <c r="B841" s="8"/>
      <c r="C841" s="8"/>
      <c r="G841" s="6"/>
      <c r="H841" s="6"/>
      <c r="I841" s="6"/>
      <c r="J841" s="6"/>
      <c r="K841" s="6"/>
      <c r="L841" s="6"/>
    </row>
    <row r="842">
      <c r="B842" s="8"/>
      <c r="C842" s="8"/>
      <c r="G842" s="6"/>
      <c r="H842" s="6"/>
      <c r="I842" s="6"/>
      <c r="J842" s="6"/>
      <c r="K842" s="6"/>
      <c r="L842" s="6"/>
    </row>
    <row r="843">
      <c r="B843" s="8"/>
      <c r="C843" s="8"/>
      <c r="G843" s="6"/>
      <c r="H843" s="6"/>
      <c r="I843" s="6"/>
      <c r="J843" s="6"/>
      <c r="K843" s="6"/>
      <c r="L843" s="6"/>
    </row>
    <row r="844">
      <c r="B844" s="8"/>
      <c r="C844" s="8"/>
      <c r="G844" s="6"/>
      <c r="H844" s="6"/>
      <c r="I844" s="6"/>
      <c r="J844" s="6"/>
      <c r="K844" s="6"/>
      <c r="L844" s="6"/>
    </row>
    <row r="845">
      <c r="B845" s="8"/>
      <c r="C845" s="8"/>
      <c r="G845" s="6"/>
      <c r="H845" s="6"/>
      <c r="I845" s="6"/>
      <c r="J845" s="6"/>
      <c r="K845" s="6"/>
      <c r="L845" s="6"/>
    </row>
    <row r="846">
      <c r="B846" s="8"/>
      <c r="C846" s="8"/>
      <c r="G846" s="6"/>
      <c r="H846" s="6"/>
      <c r="I846" s="6"/>
      <c r="J846" s="6"/>
      <c r="K846" s="6"/>
      <c r="L846" s="6"/>
    </row>
    <row r="847">
      <c r="B847" s="8"/>
      <c r="C847" s="8"/>
      <c r="G847" s="6"/>
      <c r="H847" s="6"/>
      <c r="I847" s="6"/>
      <c r="J847" s="6"/>
      <c r="K847" s="6"/>
      <c r="L847" s="6"/>
    </row>
    <row r="848">
      <c r="B848" s="8"/>
      <c r="C848" s="8"/>
      <c r="G848" s="6"/>
      <c r="H848" s="6"/>
      <c r="I848" s="6"/>
      <c r="J848" s="6"/>
      <c r="K848" s="6"/>
      <c r="L848" s="6"/>
    </row>
    <row r="849">
      <c r="B849" s="8"/>
      <c r="C849" s="8"/>
      <c r="G849" s="6"/>
      <c r="H849" s="6"/>
      <c r="I849" s="6"/>
      <c r="J849" s="6"/>
      <c r="K849" s="6"/>
      <c r="L849" s="6"/>
    </row>
    <row r="850">
      <c r="B850" s="8"/>
      <c r="C850" s="8"/>
      <c r="G850" s="6"/>
      <c r="H850" s="6"/>
      <c r="I850" s="6"/>
      <c r="J850" s="6"/>
      <c r="K850" s="6"/>
      <c r="L850" s="6"/>
    </row>
    <row r="851">
      <c r="B851" s="8"/>
      <c r="C851" s="8"/>
      <c r="G851" s="6"/>
      <c r="H851" s="6"/>
      <c r="I851" s="6"/>
      <c r="J851" s="6"/>
      <c r="K851" s="6"/>
      <c r="L851" s="6"/>
    </row>
    <row r="852">
      <c r="B852" s="8"/>
      <c r="C852" s="8"/>
      <c r="G852" s="6"/>
      <c r="H852" s="6"/>
      <c r="I852" s="6"/>
      <c r="J852" s="6"/>
      <c r="K852" s="6"/>
      <c r="L852" s="6"/>
    </row>
    <row r="853">
      <c r="B853" s="8"/>
      <c r="C853" s="8"/>
      <c r="G853" s="6"/>
      <c r="H853" s="6"/>
      <c r="I853" s="6"/>
      <c r="J853" s="6"/>
      <c r="K853" s="6"/>
      <c r="L853" s="6"/>
    </row>
    <row r="854">
      <c r="B854" s="8"/>
      <c r="C854" s="8"/>
      <c r="G854" s="6"/>
      <c r="H854" s="6"/>
      <c r="I854" s="6"/>
      <c r="J854" s="6"/>
      <c r="K854" s="6"/>
      <c r="L854" s="6"/>
    </row>
    <row r="855">
      <c r="B855" s="8"/>
      <c r="C855" s="8"/>
      <c r="G855" s="6"/>
      <c r="H855" s="6"/>
      <c r="I855" s="6"/>
      <c r="J855" s="6"/>
      <c r="K855" s="6"/>
      <c r="L855" s="6"/>
    </row>
    <row r="856">
      <c r="B856" s="8"/>
      <c r="C856" s="8"/>
      <c r="G856" s="6"/>
      <c r="H856" s="6"/>
      <c r="I856" s="6"/>
      <c r="J856" s="6"/>
      <c r="K856" s="6"/>
      <c r="L856" s="6"/>
    </row>
    <row r="857">
      <c r="B857" s="8"/>
      <c r="C857" s="8"/>
      <c r="G857" s="6"/>
      <c r="H857" s="6"/>
      <c r="I857" s="6"/>
      <c r="J857" s="6"/>
      <c r="K857" s="6"/>
      <c r="L857" s="6"/>
    </row>
    <row r="858">
      <c r="B858" s="8"/>
      <c r="C858" s="8"/>
      <c r="G858" s="6"/>
      <c r="H858" s="6"/>
      <c r="I858" s="6"/>
      <c r="J858" s="6"/>
      <c r="K858" s="6"/>
      <c r="L858" s="6"/>
    </row>
    <row r="859">
      <c r="B859" s="8"/>
      <c r="C859" s="8"/>
      <c r="G859" s="6"/>
      <c r="H859" s="6"/>
      <c r="I859" s="6"/>
      <c r="J859" s="6"/>
      <c r="K859" s="6"/>
      <c r="L859" s="6"/>
    </row>
    <row r="860">
      <c r="B860" s="8"/>
      <c r="C860" s="8"/>
      <c r="G860" s="6"/>
      <c r="H860" s="6"/>
      <c r="I860" s="6"/>
      <c r="J860" s="6"/>
      <c r="K860" s="6"/>
      <c r="L860" s="6"/>
    </row>
    <row r="861">
      <c r="B861" s="8"/>
      <c r="C861" s="8"/>
      <c r="G861" s="6"/>
      <c r="H861" s="6"/>
      <c r="I861" s="6"/>
      <c r="J861" s="6"/>
      <c r="K861" s="6"/>
      <c r="L861" s="6"/>
    </row>
    <row r="862">
      <c r="B862" s="8"/>
      <c r="C862" s="8"/>
      <c r="G862" s="6"/>
      <c r="H862" s="6"/>
      <c r="I862" s="6"/>
      <c r="J862" s="6"/>
      <c r="K862" s="6"/>
      <c r="L862" s="6"/>
    </row>
    <row r="863">
      <c r="B863" s="8"/>
      <c r="C863" s="8"/>
      <c r="G863" s="6"/>
      <c r="H863" s="6"/>
      <c r="I863" s="6"/>
      <c r="J863" s="6"/>
      <c r="K863" s="6"/>
      <c r="L863" s="6"/>
    </row>
    <row r="864">
      <c r="B864" s="8"/>
      <c r="C864" s="8"/>
      <c r="G864" s="6"/>
      <c r="H864" s="6"/>
      <c r="I864" s="6"/>
      <c r="J864" s="6"/>
      <c r="K864" s="6"/>
      <c r="L864" s="6"/>
    </row>
    <row r="865">
      <c r="B865" s="8"/>
      <c r="C865" s="8"/>
      <c r="G865" s="6"/>
      <c r="H865" s="6"/>
      <c r="I865" s="6"/>
      <c r="J865" s="6"/>
      <c r="K865" s="6"/>
      <c r="L865" s="6"/>
    </row>
    <row r="866">
      <c r="B866" s="8"/>
      <c r="C866" s="8"/>
      <c r="G866" s="6"/>
      <c r="H866" s="6"/>
      <c r="I866" s="6"/>
      <c r="J866" s="6"/>
      <c r="K866" s="6"/>
      <c r="L866" s="6"/>
    </row>
    <row r="867">
      <c r="B867" s="8"/>
      <c r="C867" s="8"/>
      <c r="G867" s="6"/>
      <c r="H867" s="6"/>
      <c r="I867" s="6"/>
      <c r="J867" s="6"/>
      <c r="K867" s="6"/>
      <c r="L867" s="6"/>
    </row>
    <row r="868">
      <c r="B868" s="8"/>
      <c r="C868" s="8"/>
      <c r="G868" s="6"/>
      <c r="H868" s="6"/>
      <c r="I868" s="6"/>
      <c r="J868" s="6"/>
      <c r="K868" s="6"/>
      <c r="L868" s="6"/>
    </row>
    <row r="869">
      <c r="B869" s="8"/>
      <c r="C869" s="8"/>
      <c r="G869" s="6"/>
      <c r="H869" s="6"/>
      <c r="I869" s="6"/>
      <c r="J869" s="6"/>
      <c r="K869" s="6"/>
      <c r="L869" s="6"/>
    </row>
    <row r="870">
      <c r="B870" s="8"/>
      <c r="C870" s="8"/>
      <c r="G870" s="6"/>
      <c r="H870" s="6"/>
      <c r="I870" s="6"/>
      <c r="J870" s="6"/>
      <c r="K870" s="6"/>
      <c r="L870" s="6"/>
    </row>
    <row r="871">
      <c r="B871" s="8"/>
      <c r="C871" s="8"/>
      <c r="G871" s="6"/>
      <c r="H871" s="6"/>
      <c r="I871" s="6"/>
      <c r="J871" s="6"/>
      <c r="K871" s="6"/>
      <c r="L871" s="6"/>
    </row>
    <row r="872">
      <c r="B872" s="8"/>
      <c r="C872" s="8"/>
      <c r="G872" s="6"/>
      <c r="H872" s="6"/>
      <c r="I872" s="6"/>
      <c r="J872" s="6"/>
      <c r="K872" s="6"/>
      <c r="L872" s="6"/>
    </row>
    <row r="873">
      <c r="B873" s="8"/>
      <c r="C873" s="8"/>
      <c r="G873" s="6"/>
      <c r="H873" s="6"/>
      <c r="I873" s="6"/>
      <c r="J873" s="6"/>
      <c r="K873" s="6"/>
      <c r="L873" s="6"/>
    </row>
    <row r="874">
      <c r="B874" s="8"/>
      <c r="C874" s="8"/>
      <c r="G874" s="6"/>
      <c r="H874" s="6"/>
      <c r="I874" s="6"/>
      <c r="J874" s="6"/>
      <c r="K874" s="6"/>
      <c r="L874" s="6"/>
    </row>
    <row r="875">
      <c r="B875" s="8"/>
      <c r="C875" s="8"/>
      <c r="G875" s="6"/>
      <c r="H875" s="6"/>
      <c r="I875" s="6"/>
      <c r="J875" s="6"/>
      <c r="K875" s="6"/>
      <c r="L875" s="6"/>
    </row>
    <row r="876">
      <c r="B876" s="8"/>
      <c r="C876" s="8"/>
      <c r="G876" s="6"/>
      <c r="H876" s="6"/>
      <c r="I876" s="6"/>
      <c r="J876" s="6"/>
      <c r="K876" s="6"/>
      <c r="L876" s="6"/>
    </row>
    <row r="877">
      <c r="B877" s="8"/>
      <c r="C877" s="8"/>
      <c r="G877" s="6"/>
      <c r="H877" s="6"/>
      <c r="I877" s="6"/>
      <c r="J877" s="6"/>
      <c r="K877" s="6"/>
      <c r="L877" s="6"/>
    </row>
    <row r="878">
      <c r="B878" s="8"/>
      <c r="C878" s="8"/>
      <c r="G878" s="6"/>
      <c r="H878" s="6"/>
      <c r="I878" s="6"/>
      <c r="J878" s="6"/>
      <c r="K878" s="6"/>
      <c r="L878" s="6"/>
    </row>
    <row r="879">
      <c r="B879" s="8"/>
      <c r="C879" s="8"/>
      <c r="G879" s="6"/>
      <c r="H879" s="6"/>
      <c r="I879" s="6"/>
      <c r="J879" s="6"/>
      <c r="K879" s="6"/>
      <c r="L879" s="6"/>
    </row>
    <row r="880">
      <c r="B880" s="8"/>
      <c r="C880" s="8"/>
      <c r="G880" s="6"/>
      <c r="H880" s="6"/>
      <c r="I880" s="6"/>
      <c r="J880" s="6"/>
      <c r="K880" s="6"/>
      <c r="L880" s="6"/>
    </row>
    <row r="881">
      <c r="B881" s="8"/>
      <c r="C881" s="8"/>
      <c r="G881" s="6"/>
      <c r="H881" s="6"/>
      <c r="I881" s="6"/>
      <c r="J881" s="6"/>
      <c r="K881" s="6"/>
      <c r="L881" s="6"/>
    </row>
    <row r="882">
      <c r="B882" s="8"/>
      <c r="C882" s="8"/>
      <c r="G882" s="6"/>
      <c r="H882" s="6"/>
      <c r="I882" s="6"/>
      <c r="J882" s="6"/>
      <c r="K882" s="6"/>
      <c r="L882" s="6"/>
    </row>
    <row r="883">
      <c r="B883" s="8"/>
      <c r="C883" s="8"/>
      <c r="G883" s="6"/>
      <c r="H883" s="6"/>
      <c r="I883" s="6"/>
      <c r="J883" s="6"/>
      <c r="K883" s="6"/>
      <c r="L883" s="6"/>
    </row>
    <row r="884">
      <c r="B884" s="8"/>
      <c r="C884" s="8"/>
      <c r="G884" s="6"/>
      <c r="H884" s="6"/>
      <c r="I884" s="6"/>
      <c r="J884" s="6"/>
      <c r="K884" s="6"/>
      <c r="L884" s="6"/>
    </row>
    <row r="885">
      <c r="B885" s="8"/>
      <c r="C885" s="8"/>
      <c r="G885" s="6"/>
      <c r="H885" s="6"/>
      <c r="I885" s="6"/>
      <c r="J885" s="6"/>
      <c r="K885" s="6"/>
      <c r="L885" s="6"/>
    </row>
    <row r="886">
      <c r="B886" s="8"/>
      <c r="C886" s="8"/>
      <c r="G886" s="6"/>
      <c r="H886" s="6"/>
      <c r="I886" s="6"/>
      <c r="J886" s="6"/>
      <c r="K886" s="6"/>
      <c r="L886" s="6"/>
    </row>
    <row r="887">
      <c r="B887" s="8"/>
      <c r="C887" s="8"/>
      <c r="G887" s="6"/>
      <c r="H887" s="6"/>
      <c r="I887" s="6"/>
      <c r="J887" s="6"/>
      <c r="K887" s="6"/>
      <c r="L887" s="6"/>
    </row>
    <row r="888">
      <c r="B888" s="8"/>
      <c r="C888" s="8"/>
      <c r="G888" s="6"/>
      <c r="H888" s="6"/>
      <c r="I888" s="6"/>
      <c r="J888" s="6"/>
      <c r="K888" s="6"/>
      <c r="L888" s="6"/>
    </row>
    <row r="889">
      <c r="B889" s="8"/>
      <c r="C889" s="8"/>
      <c r="G889" s="6"/>
      <c r="H889" s="6"/>
      <c r="I889" s="6"/>
      <c r="J889" s="6"/>
      <c r="K889" s="6"/>
      <c r="L889" s="6"/>
    </row>
    <row r="890">
      <c r="B890" s="8"/>
      <c r="C890" s="8"/>
      <c r="G890" s="6"/>
      <c r="H890" s="6"/>
      <c r="I890" s="6"/>
      <c r="J890" s="6"/>
      <c r="K890" s="6"/>
      <c r="L890" s="6"/>
    </row>
    <row r="891">
      <c r="B891" s="8"/>
      <c r="C891" s="8"/>
      <c r="G891" s="6"/>
      <c r="H891" s="6"/>
      <c r="I891" s="6"/>
      <c r="J891" s="6"/>
      <c r="K891" s="6"/>
      <c r="L891" s="6"/>
    </row>
    <row r="892">
      <c r="B892" s="8"/>
      <c r="C892" s="8"/>
      <c r="G892" s="6"/>
      <c r="H892" s="6"/>
      <c r="I892" s="6"/>
      <c r="J892" s="6"/>
      <c r="K892" s="6"/>
      <c r="L892" s="6"/>
    </row>
    <row r="893">
      <c r="B893" s="8"/>
      <c r="C893" s="8"/>
      <c r="G893" s="6"/>
      <c r="H893" s="6"/>
      <c r="I893" s="6"/>
      <c r="J893" s="6"/>
      <c r="K893" s="6"/>
      <c r="L893" s="6"/>
    </row>
    <row r="894">
      <c r="B894" s="8"/>
      <c r="C894" s="8"/>
      <c r="G894" s="6"/>
      <c r="H894" s="6"/>
      <c r="I894" s="6"/>
      <c r="J894" s="6"/>
      <c r="K894" s="6"/>
      <c r="L894" s="6"/>
    </row>
    <row r="895">
      <c r="B895" s="8"/>
      <c r="C895" s="8"/>
      <c r="G895" s="6"/>
      <c r="H895" s="6"/>
      <c r="I895" s="6"/>
      <c r="J895" s="6"/>
      <c r="K895" s="6"/>
      <c r="L895" s="6"/>
    </row>
    <row r="896">
      <c r="B896" s="8"/>
      <c r="C896" s="8"/>
      <c r="G896" s="6"/>
      <c r="H896" s="6"/>
      <c r="I896" s="6"/>
      <c r="J896" s="6"/>
      <c r="K896" s="6"/>
      <c r="L896" s="6"/>
    </row>
    <row r="897">
      <c r="B897" s="8"/>
      <c r="C897" s="8"/>
      <c r="G897" s="6"/>
      <c r="H897" s="6"/>
      <c r="I897" s="6"/>
      <c r="J897" s="6"/>
      <c r="K897" s="6"/>
      <c r="L897" s="6"/>
    </row>
    <row r="898">
      <c r="B898" s="8"/>
      <c r="C898" s="8"/>
      <c r="G898" s="6"/>
      <c r="H898" s="6"/>
      <c r="I898" s="6"/>
      <c r="J898" s="6"/>
      <c r="K898" s="6"/>
      <c r="L898" s="6"/>
    </row>
    <row r="899">
      <c r="B899" s="8"/>
      <c r="C899" s="8"/>
      <c r="G899" s="6"/>
      <c r="H899" s="6"/>
      <c r="I899" s="6"/>
      <c r="J899" s="6"/>
      <c r="K899" s="6"/>
      <c r="L899" s="6"/>
    </row>
    <row r="900">
      <c r="B900" s="8"/>
      <c r="C900" s="8"/>
      <c r="G900" s="6"/>
      <c r="H900" s="6"/>
      <c r="I900" s="6"/>
      <c r="J900" s="6"/>
      <c r="K900" s="6"/>
      <c r="L900" s="6"/>
    </row>
    <row r="901">
      <c r="B901" s="8"/>
      <c r="C901" s="8"/>
      <c r="G901" s="6"/>
      <c r="H901" s="6"/>
      <c r="I901" s="6"/>
      <c r="J901" s="6"/>
      <c r="K901" s="6"/>
      <c r="L901" s="6"/>
    </row>
    <row r="902">
      <c r="B902" s="8"/>
      <c r="C902" s="8"/>
      <c r="G902" s="6"/>
      <c r="H902" s="6"/>
      <c r="I902" s="6"/>
      <c r="J902" s="6"/>
      <c r="K902" s="6"/>
      <c r="L902" s="6"/>
    </row>
    <row r="903">
      <c r="B903" s="8"/>
      <c r="C903" s="8"/>
      <c r="G903" s="6"/>
      <c r="H903" s="6"/>
      <c r="I903" s="6"/>
      <c r="J903" s="6"/>
      <c r="K903" s="6"/>
      <c r="L903" s="6"/>
    </row>
    <row r="904">
      <c r="B904" s="8"/>
      <c r="C904" s="8"/>
      <c r="G904" s="6"/>
      <c r="H904" s="6"/>
      <c r="I904" s="6"/>
      <c r="J904" s="6"/>
      <c r="K904" s="6"/>
      <c r="L904" s="6"/>
    </row>
    <row r="905">
      <c r="B905" s="8"/>
      <c r="C905" s="8"/>
      <c r="G905" s="6"/>
      <c r="H905" s="6"/>
      <c r="I905" s="6"/>
      <c r="J905" s="6"/>
      <c r="K905" s="6"/>
      <c r="L905" s="6"/>
    </row>
    <row r="906">
      <c r="B906" s="8"/>
      <c r="C906" s="8"/>
      <c r="G906" s="6"/>
      <c r="H906" s="6"/>
      <c r="I906" s="6"/>
      <c r="J906" s="6"/>
      <c r="K906" s="6"/>
      <c r="L906" s="6"/>
    </row>
    <row r="907">
      <c r="B907" s="8"/>
      <c r="C907" s="8"/>
      <c r="G907" s="6"/>
      <c r="H907" s="6"/>
      <c r="I907" s="6"/>
      <c r="J907" s="6"/>
      <c r="K907" s="6"/>
      <c r="L907" s="6"/>
    </row>
    <row r="908">
      <c r="B908" s="8"/>
      <c r="C908" s="8"/>
      <c r="G908" s="6"/>
      <c r="H908" s="6"/>
      <c r="I908" s="6"/>
      <c r="J908" s="6"/>
      <c r="K908" s="6"/>
      <c r="L908" s="6"/>
    </row>
    <row r="909">
      <c r="B909" s="8"/>
      <c r="C909" s="8"/>
      <c r="G909" s="6"/>
      <c r="H909" s="6"/>
      <c r="I909" s="6"/>
      <c r="J909" s="6"/>
      <c r="K909" s="6"/>
      <c r="L909" s="6"/>
    </row>
    <row r="910">
      <c r="B910" s="8"/>
      <c r="C910" s="8"/>
      <c r="G910" s="6"/>
      <c r="H910" s="6"/>
      <c r="I910" s="6"/>
      <c r="J910" s="6"/>
      <c r="K910" s="6"/>
      <c r="L910" s="6"/>
    </row>
    <row r="911">
      <c r="B911" s="8"/>
      <c r="C911" s="8"/>
      <c r="G911" s="6"/>
      <c r="H911" s="6"/>
      <c r="I911" s="6"/>
      <c r="J911" s="6"/>
      <c r="K911" s="6"/>
      <c r="L911" s="6"/>
    </row>
    <row r="912">
      <c r="B912" s="8"/>
      <c r="C912" s="8"/>
      <c r="G912" s="6"/>
      <c r="H912" s="6"/>
      <c r="I912" s="6"/>
      <c r="J912" s="6"/>
      <c r="K912" s="6"/>
      <c r="L912" s="6"/>
    </row>
    <row r="913">
      <c r="B913" s="8"/>
      <c r="C913" s="8"/>
      <c r="G913" s="6"/>
      <c r="H913" s="6"/>
      <c r="I913" s="6"/>
      <c r="J913" s="6"/>
      <c r="K913" s="6"/>
      <c r="L913" s="6"/>
    </row>
    <row r="914">
      <c r="B914" s="8"/>
      <c r="C914" s="8"/>
      <c r="G914" s="6"/>
      <c r="H914" s="6"/>
      <c r="I914" s="6"/>
      <c r="J914" s="6"/>
      <c r="K914" s="6"/>
      <c r="L914" s="6"/>
    </row>
    <row r="915">
      <c r="B915" s="8"/>
      <c r="C915" s="8"/>
      <c r="G915" s="6"/>
      <c r="H915" s="6"/>
      <c r="I915" s="6"/>
      <c r="J915" s="6"/>
      <c r="K915" s="6"/>
      <c r="L915" s="6"/>
    </row>
    <row r="916">
      <c r="B916" s="8"/>
      <c r="C916" s="8"/>
      <c r="G916" s="6"/>
      <c r="H916" s="6"/>
      <c r="I916" s="6"/>
      <c r="J916" s="6"/>
      <c r="K916" s="6"/>
      <c r="L916" s="6"/>
    </row>
    <row r="917">
      <c r="B917" s="8"/>
      <c r="C917" s="8"/>
      <c r="G917" s="6"/>
      <c r="H917" s="6"/>
      <c r="I917" s="6"/>
      <c r="J917" s="6"/>
      <c r="K917" s="6"/>
      <c r="L917" s="6"/>
    </row>
    <row r="918">
      <c r="B918" s="8"/>
      <c r="C918" s="8"/>
      <c r="G918" s="6"/>
      <c r="H918" s="6"/>
      <c r="I918" s="6"/>
      <c r="J918" s="6"/>
      <c r="K918" s="6"/>
      <c r="L918" s="6"/>
    </row>
    <row r="919">
      <c r="B919" s="8"/>
      <c r="C919" s="8"/>
      <c r="G919" s="6"/>
      <c r="H919" s="6"/>
      <c r="I919" s="6"/>
      <c r="J919" s="6"/>
      <c r="K919" s="6"/>
      <c r="L919" s="6"/>
    </row>
    <row r="920">
      <c r="B920" s="8"/>
      <c r="C920" s="8"/>
      <c r="G920" s="6"/>
      <c r="H920" s="6"/>
      <c r="I920" s="6"/>
      <c r="J920" s="6"/>
      <c r="K920" s="6"/>
      <c r="L920" s="6"/>
    </row>
    <row r="921">
      <c r="B921" s="8"/>
      <c r="C921" s="8"/>
      <c r="G921" s="6"/>
      <c r="H921" s="6"/>
      <c r="I921" s="6"/>
      <c r="J921" s="6"/>
      <c r="K921" s="6"/>
      <c r="L921" s="6"/>
    </row>
    <row r="922">
      <c r="B922" s="8"/>
      <c r="C922" s="8"/>
      <c r="G922" s="6"/>
      <c r="H922" s="6"/>
      <c r="I922" s="6"/>
      <c r="J922" s="6"/>
      <c r="K922" s="6"/>
      <c r="L922" s="6"/>
    </row>
    <row r="923">
      <c r="B923" s="8"/>
      <c r="C923" s="8"/>
      <c r="G923" s="6"/>
      <c r="H923" s="6"/>
      <c r="I923" s="6"/>
      <c r="J923" s="6"/>
      <c r="K923" s="6"/>
      <c r="L923" s="6"/>
    </row>
    <row r="924">
      <c r="B924" s="8"/>
      <c r="C924" s="8"/>
      <c r="G924" s="6"/>
      <c r="H924" s="6"/>
      <c r="I924" s="6"/>
      <c r="J924" s="6"/>
      <c r="K924" s="6"/>
      <c r="L924" s="6"/>
    </row>
    <row r="925">
      <c r="B925" s="8"/>
      <c r="C925" s="8"/>
      <c r="G925" s="6"/>
      <c r="H925" s="6"/>
      <c r="I925" s="6"/>
      <c r="J925" s="6"/>
      <c r="K925" s="6"/>
      <c r="L925" s="6"/>
    </row>
    <row r="926">
      <c r="B926" s="8"/>
      <c r="C926" s="8"/>
      <c r="G926" s="6"/>
      <c r="H926" s="6"/>
      <c r="I926" s="6"/>
      <c r="J926" s="6"/>
      <c r="K926" s="6"/>
      <c r="L926" s="6"/>
    </row>
    <row r="927">
      <c r="B927" s="8"/>
      <c r="C927" s="8"/>
      <c r="G927" s="6"/>
      <c r="H927" s="6"/>
      <c r="I927" s="6"/>
      <c r="J927" s="6"/>
      <c r="K927" s="6"/>
      <c r="L927" s="6"/>
    </row>
    <row r="928">
      <c r="B928" s="8"/>
      <c r="C928" s="8"/>
      <c r="G928" s="6"/>
      <c r="H928" s="6"/>
      <c r="I928" s="6"/>
      <c r="J928" s="6"/>
      <c r="K928" s="6"/>
      <c r="L928" s="6"/>
    </row>
    <row r="929">
      <c r="B929" s="8"/>
      <c r="C929" s="8"/>
      <c r="G929" s="6"/>
      <c r="H929" s="6"/>
      <c r="I929" s="6"/>
      <c r="J929" s="6"/>
      <c r="K929" s="6"/>
      <c r="L929" s="6"/>
    </row>
    <row r="930">
      <c r="B930" s="8"/>
      <c r="C930" s="8"/>
      <c r="G930" s="6"/>
      <c r="H930" s="6"/>
      <c r="I930" s="6"/>
      <c r="J930" s="6"/>
      <c r="K930" s="6"/>
      <c r="L930" s="6"/>
    </row>
    <row r="931">
      <c r="B931" s="8"/>
      <c r="C931" s="8"/>
      <c r="G931" s="6"/>
      <c r="H931" s="6"/>
      <c r="I931" s="6"/>
      <c r="J931" s="6"/>
      <c r="K931" s="6"/>
      <c r="L931" s="6"/>
    </row>
    <row r="932">
      <c r="B932" s="8"/>
      <c r="C932" s="8"/>
      <c r="G932" s="6"/>
      <c r="H932" s="6"/>
      <c r="I932" s="6"/>
      <c r="J932" s="6"/>
      <c r="K932" s="6"/>
      <c r="L932" s="6"/>
    </row>
    <row r="933">
      <c r="B933" s="8"/>
      <c r="C933" s="8"/>
      <c r="G933" s="6"/>
      <c r="H933" s="6"/>
      <c r="I933" s="6"/>
      <c r="J933" s="6"/>
      <c r="K933" s="6"/>
      <c r="L933" s="6"/>
    </row>
    <row r="934">
      <c r="B934" s="8"/>
      <c r="C934" s="8"/>
      <c r="G934" s="6"/>
      <c r="H934" s="6"/>
      <c r="I934" s="6"/>
      <c r="J934" s="6"/>
      <c r="K934" s="6"/>
      <c r="L934" s="6"/>
    </row>
    <row r="935">
      <c r="B935" s="8"/>
      <c r="C935" s="8"/>
      <c r="G935" s="6"/>
      <c r="H935" s="6"/>
      <c r="I935" s="6"/>
      <c r="J935" s="6"/>
      <c r="K935" s="6"/>
      <c r="L935" s="6"/>
    </row>
    <row r="936">
      <c r="B936" s="8"/>
      <c r="C936" s="8"/>
      <c r="G936" s="6"/>
      <c r="H936" s="6"/>
      <c r="I936" s="6"/>
      <c r="J936" s="6"/>
      <c r="K936" s="6"/>
      <c r="L936" s="6"/>
    </row>
    <row r="937">
      <c r="B937" s="8"/>
      <c r="C937" s="8"/>
      <c r="G937" s="6"/>
      <c r="H937" s="6"/>
      <c r="I937" s="6"/>
      <c r="J937" s="6"/>
      <c r="K937" s="6"/>
      <c r="L937" s="6"/>
    </row>
    <row r="938">
      <c r="B938" s="8"/>
      <c r="C938" s="8"/>
      <c r="G938" s="6"/>
      <c r="H938" s="6"/>
      <c r="I938" s="6"/>
      <c r="J938" s="6"/>
      <c r="K938" s="6"/>
      <c r="L938" s="6"/>
    </row>
    <row r="939">
      <c r="B939" s="8"/>
      <c r="C939" s="8"/>
      <c r="G939" s="6"/>
      <c r="H939" s="6"/>
      <c r="I939" s="6"/>
      <c r="J939" s="6"/>
      <c r="K939" s="6"/>
      <c r="L939" s="6"/>
    </row>
    <row r="940">
      <c r="B940" s="8"/>
      <c r="C940" s="8"/>
      <c r="G940" s="6"/>
      <c r="H940" s="6"/>
      <c r="I940" s="6"/>
      <c r="J940" s="6"/>
      <c r="K940" s="6"/>
      <c r="L940" s="6"/>
    </row>
    <row r="941">
      <c r="B941" s="8"/>
      <c r="C941" s="8"/>
      <c r="G941" s="6"/>
      <c r="H941" s="6"/>
      <c r="I941" s="6"/>
      <c r="J941" s="6"/>
      <c r="K941" s="6"/>
      <c r="L941" s="6"/>
    </row>
    <row r="942">
      <c r="B942" s="8"/>
      <c r="C942" s="8"/>
      <c r="G942" s="6"/>
      <c r="H942" s="6"/>
      <c r="I942" s="6"/>
      <c r="J942" s="6"/>
      <c r="K942" s="6"/>
      <c r="L942" s="6"/>
    </row>
    <row r="943">
      <c r="B943" s="8"/>
      <c r="C943" s="8"/>
      <c r="G943" s="6"/>
      <c r="H943" s="6"/>
      <c r="I943" s="6"/>
      <c r="J943" s="6"/>
      <c r="K943" s="6"/>
      <c r="L943" s="6"/>
    </row>
    <row r="944">
      <c r="B944" s="8"/>
      <c r="C944" s="8"/>
      <c r="G944" s="6"/>
      <c r="H944" s="6"/>
      <c r="I944" s="6"/>
      <c r="J944" s="6"/>
      <c r="K944" s="6"/>
      <c r="L944" s="6"/>
    </row>
    <row r="945">
      <c r="B945" s="8"/>
      <c r="C945" s="8"/>
      <c r="G945" s="6"/>
      <c r="H945" s="6"/>
      <c r="I945" s="6"/>
      <c r="J945" s="6"/>
      <c r="K945" s="6"/>
      <c r="L945" s="6"/>
    </row>
    <row r="946">
      <c r="B946" s="8"/>
      <c r="C946" s="8"/>
      <c r="G946" s="6"/>
      <c r="H946" s="6"/>
      <c r="I946" s="6"/>
      <c r="J946" s="6"/>
      <c r="K946" s="6"/>
      <c r="L946" s="6"/>
    </row>
    <row r="947">
      <c r="B947" s="8"/>
      <c r="C947" s="8"/>
      <c r="G947" s="6"/>
      <c r="H947" s="6"/>
      <c r="I947" s="6"/>
      <c r="J947" s="6"/>
      <c r="K947" s="6"/>
      <c r="L947" s="6"/>
    </row>
    <row r="948">
      <c r="B948" s="8"/>
      <c r="C948" s="8"/>
      <c r="G948" s="6"/>
      <c r="H948" s="6"/>
      <c r="I948" s="6"/>
      <c r="J948" s="6"/>
      <c r="K948" s="6"/>
      <c r="L948" s="6"/>
    </row>
    <row r="949">
      <c r="B949" s="8"/>
      <c r="C949" s="8"/>
      <c r="G949" s="6"/>
      <c r="H949" s="6"/>
      <c r="I949" s="6"/>
      <c r="J949" s="6"/>
      <c r="K949" s="6"/>
      <c r="L949" s="6"/>
    </row>
    <row r="950">
      <c r="B950" s="8"/>
      <c r="C950" s="8"/>
      <c r="G950" s="6"/>
      <c r="H950" s="6"/>
      <c r="I950" s="6"/>
      <c r="J950" s="6"/>
      <c r="K950" s="6"/>
      <c r="L950" s="6"/>
    </row>
    <row r="951">
      <c r="B951" s="8"/>
      <c r="C951" s="8"/>
      <c r="G951" s="6"/>
      <c r="H951" s="6"/>
      <c r="I951" s="6"/>
      <c r="J951" s="6"/>
      <c r="K951" s="6"/>
      <c r="L951" s="6"/>
    </row>
    <row r="952">
      <c r="B952" s="8"/>
      <c r="C952" s="8"/>
      <c r="G952" s="6"/>
      <c r="H952" s="6"/>
      <c r="I952" s="6"/>
      <c r="J952" s="6"/>
      <c r="K952" s="6"/>
      <c r="L952" s="6"/>
    </row>
    <row r="953">
      <c r="B953" s="8"/>
      <c r="C953" s="8"/>
      <c r="G953" s="6"/>
      <c r="H953" s="6"/>
      <c r="I953" s="6"/>
      <c r="J953" s="6"/>
      <c r="K953" s="6"/>
      <c r="L953" s="6"/>
    </row>
    <row r="954">
      <c r="B954" s="8"/>
      <c r="C954" s="8"/>
      <c r="G954" s="6"/>
      <c r="H954" s="6"/>
      <c r="I954" s="6"/>
      <c r="J954" s="6"/>
      <c r="K954" s="6"/>
      <c r="L954" s="6"/>
    </row>
    <row r="955">
      <c r="B955" s="8"/>
      <c r="C955" s="8"/>
      <c r="G955" s="6"/>
      <c r="H955" s="6"/>
      <c r="I955" s="6"/>
      <c r="J955" s="6"/>
      <c r="K955" s="6"/>
      <c r="L955" s="6"/>
    </row>
    <row r="956">
      <c r="B956" s="8"/>
      <c r="C956" s="8"/>
      <c r="G956" s="6"/>
      <c r="H956" s="6"/>
      <c r="I956" s="6"/>
      <c r="J956" s="6"/>
      <c r="K956" s="6"/>
      <c r="L956" s="6"/>
    </row>
    <row r="957">
      <c r="B957" s="8"/>
      <c r="C957" s="8"/>
      <c r="G957" s="6"/>
      <c r="H957" s="6"/>
      <c r="I957" s="6"/>
      <c r="J957" s="6"/>
      <c r="K957" s="6"/>
      <c r="L957" s="6"/>
    </row>
    <row r="958">
      <c r="B958" s="8"/>
      <c r="C958" s="8"/>
      <c r="G958" s="6"/>
      <c r="H958" s="6"/>
      <c r="I958" s="6"/>
      <c r="J958" s="6"/>
      <c r="K958" s="6"/>
      <c r="L958" s="6"/>
    </row>
    <row r="959">
      <c r="B959" s="8"/>
      <c r="C959" s="8"/>
      <c r="G959" s="6"/>
      <c r="H959" s="6"/>
      <c r="I959" s="6"/>
      <c r="J959" s="6"/>
      <c r="K959" s="6"/>
      <c r="L959" s="6"/>
    </row>
    <row r="960">
      <c r="B960" s="8"/>
      <c r="C960" s="8"/>
      <c r="G960" s="6"/>
      <c r="H960" s="6"/>
      <c r="I960" s="6"/>
      <c r="J960" s="6"/>
      <c r="K960" s="6"/>
      <c r="L960" s="6"/>
    </row>
    <row r="961">
      <c r="B961" s="8"/>
      <c r="C961" s="8"/>
      <c r="G961" s="6"/>
      <c r="H961" s="6"/>
      <c r="I961" s="6"/>
      <c r="J961" s="6"/>
      <c r="K961" s="6"/>
      <c r="L961" s="6"/>
    </row>
    <row r="962">
      <c r="B962" s="8"/>
      <c r="C962" s="8"/>
      <c r="G962" s="6"/>
      <c r="H962" s="6"/>
      <c r="I962" s="6"/>
      <c r="J962" s="6"/>
      <c r="K962" s="6"/>
      <c r="L962" s="6"/>
    </row>
    <row r="963">
      <c r="B963" s="8"/>
      <c r="C963" s="8"/>
      <c r="G963" s="6"/>
      <c r="H963" s="6"/>
      <c r="I963" s="6"/>
      <c r="J963" s="6"/>
      <c r="K963" s="6"/>
      <c r="L963" s="6"/>
    </row>
    <row r="964">
      <c r="B964" s="8"/>
      <c r="C964" s="8"/>
      <c r="G964" s="6"/>
      <c r="H964" s="6"/>
      <c r="I964" s="6"/>
      <c r="J964" s="6"/>
      <c r="K964" s="6"/>
      <c r="L964" s="6"/>
    </row>
    <row r="965">
      <c r="B965" s="8"/>
      <c r="C965" s="8"/>
      <c r="G965" s="6"/>
      <c r="H965" s="6"/>
      <c r="I965" s="6"/>
      <c r="J965" s="6"/>
      <c r="K965" s="6"/>
      <c r="L965" s="6"/>
    </row>
    <row r="966">
      <c r="B966" s="8"/>
      <c r="C966" s="8"/>
      <c r="G966" s="6"/>
      <c r="H966" s="6"/>
      <c r="I966" s="6"/>
      <c r="J966" s="6"/>
      <c r="K966" s="6"/>
      <c r="L966" s="6"/>
    </row>
    <row r="967">
      <c r="B967" s="8"/>
      <c r="C967" s="8"/>
      <c r="G967" s="6"/>
      <c r="H967" s="6"/>
      <c r="I967" s="6"/>
      <c r="J967" s="6"/>
      <c r="K967" s="6"/>
      <c r="L967" s="6"/>
    </row>
    <row r="968">
      <c r="B968" s="8"/>
      <c r="C968" s="8"/>
      <c r="G968" s="6"/>
      <c r="H968" s="6"/>
      <c r="I968" s="6"/>
      <c r="J968" s="6"/>
      <c r="K968" s="6"/>
      <c r="L968" s="6"/>
    </row>
    <row r="969">
      <c r="B969" s="8"/>
      <c r="C969" s="8"/>
      <c r="G969" s="6"/>
      <c r="H969" s="6"/>
      <c r="I969" s="6"/>
      <c r="J969" s="6"/>
      <c r="K969" s="6"/>
      <c r="L969" s="6"/>
    </row>
    <row r="970">
      <c r="B970" s="8"/>
      <c r="C970" s="8"/>
      <c r="G970" s="6"/>
      <c r="H970" s="6"/>
      <c r="I970" s="6"/>
      <c r="J970" s="6"/>
      <c r="K970" s="6"/>
      <c r="L970" s="6"/>
    </row>
    <row r="971">
      <c r="B971" s="8"/>
      <c r="C971" s="8"/>
      <c r="G971" s="6"/>
      <c r="H971" s="6"/>
      <c r="I971" s="6"/>
      <c r="J971" s="6"/>
      <c r="K971" s="6"/>
      <c r="L971" s="6"/>
    </row>
    <row r="972">
      <c r="B972" s="8"/>
      <c r="C972" s="8"/>
      <c r="G972" s="6"/>
      <c r="H972" s="6"/>
      <c r="I972" s="6"/>
      <c r="J972" s="6"/>
      <c r="K972" s="6"/>
      <c r="L972" s="6"/>
    </row>
    <row r="973">
      <c r="B973" s="8"/>
      <c r="C973" s="8"/>
      <c r="G973" s="6"/>
      <c r="H973" s="6"/>
      <c r="I973" s="6"/>
      <c r="J973" s="6"/>
      <c r="K973" s="6"/>
      <c r="L973" s="6"/>
    </row>
    <row r="974">
      <c r="B974" s="8"/>
      <c r="C974" s="8"/>
      <c r="G974" s="6"/>
      <c r="H974" s="6"/>
      <c r="I974" s="6"/>
      <c r="J974" s="6"/>
      <c r="K974" s="6"/>
      <c r="L974" s="6"/>
    </row>
    <row r="975">
      <c r="B975" s="8"/>
      <c r="C975" s="8"/>
      <c r="G975" s="6"/>
      <c r="H975" s="6"/>
      <c r="I975" s="6"/>
      <c r="J975" s="6"/>
      <c r="K975" s="6"/>
      <c r="L975" s="6"/>
    </row>
    <row r="976">
      <c r="B976" s="8"/>
      <c r="C976" s="8"/>
      <c r="G976" s="6"/>
      <c r="H976" s="6"/>
      <c r="I976" s="6"/>
      <c r="J976" s="6"/>
      <c r="K976" s="6"/>
      <c r="L976" s="6"/>
    </row>
    <row r="977">
      <c r="B977" s="8"/>
      <c r="C977" s="8"/>
      <c r="G977" s="6"/>
      <c r="H977" s="6"/>
      <c r="I977" s="6"/>
      <c r="J977" s="6"/>
      <c r="K977" s="6"/>
      <c r="L977" s="6"/>
    </row>
    <row r="978">
      <c r="B978" s="8"/>
      <c r="C978" s="8"/>
      <c r="G978" s="6"/>
      <c r="H978" s="6"/>
      <c r="I978" s="6"/>
      <c r="J978" s="6"/>
      <c r="K978" s="6"/>
      <c r="L978" s="6"/>
    </row>
    <row r="979">
      <c r="B979" s="8"/>
      <c r="C979" s="8"/>
      <c r="G979" s="6"/>
      <c r="H979" s="6"/>
      <c r="I979" s="6"/>
      <c r="J979" s="6"/>
      <c r="K979" s="6"/>
      <c r="L979" s="6"/>
    </row>
    <row r="980">
      <c r="B980" s="8"/>
      <c r="C980" s="8"/>
      <c r="G980" s="6"/>
      <c r="H980" s="6"/>
      <c r="I980" s="6"/>
      <c r="J980" s="6"/>
      <c r="K980" s="6"/>
      <c r="L980" s="6"/>
    </row>
    <row r="981">
      <c r="B981" s="8"/>
      <c r="C981" s="8"/>
      <c r="G981" s="6"/>
      <c r="H981" s="6"/>
      <c r="I981" s="6"/>
      <c r="J981" s="6"/>
      <c r="K981" s="6"/>
      <c r="L981" s="6"/>
    </row>
    <row r="982">
      <c r="B982" s="8"/>
      <c r="C982" s="8"/>
      <c r="G982" s="6"/>
      <c r="H982" s="6"/>
      <c r="I982" s="6"/>
      <c r="J982" s="6"/>
      <c r="K982" s="6"/>
      <c r="L982" s="6"/>
    </row>
    <row r="983">
      <c r="B983" s="8"/>
      <c r="C983" s="8"/>
      <c r="G983" s="6"/>
      <c r="H983" s="6"/>
      <c r="I983" s="6"/>
      <c r="J983" s="6"/>
      <c r="K983" s="6"/>
      <c r="L983" s="6"/>
    </row>
    <row r="984">
      <c r="B984" s="8"/>
      <c r="C984" s="8"/>
      <c r="G984" s="6"/>
      <c r="H984" s="6"/>
      <c r="I984" s="6"/>
      <c r="J984" s="6"/>
      <c r="K984" s="6"/>
      <c r="L984" s="6"/>
    </row>
    <row r="985">
      <c r="B985" s="8"/>
      <c r="C985" s="8"/>
      <c r="G985" s="6"/>
      <c r="H985" s="6"/>
      <c r="I985" s="6"/>
      <c r="J985" s="6"/>
      <c r="K985" s="6"/>
      <c r="L985" s="6"/>
    </row>
    <row r="986">
      <c r="B986" s="8"/>
      <c r="C986" s="8"/>
      <c r="G986" s="6"/>
      <c r="H986" s="6"/>
      <c r="I986" s="6"/>
      <c r="J986" s="6"/>
      <c r="K986" s="6"/>
      <c r="L986" s="6"/>
    </row>
    <row r="987">
      <c r="B987" s="8"/>
      <c r="C987" s="8"/>
      <c r="G987" s="6"/>
      <c r="H987" s="6"/>
      <c r="I987" s="6"/>
      <c r="J987" s="6"/>
      <c r="K987" s="6"/>
      <c r="L987" s="6"/>
    </row>
    <row r="988">
      <c r="B988" s="8"/>
      <c r="C988" s="8"/>
      <c r="G988" s="6"/>
      <c r="H988" s="6"/>
      <c r="I988" s="6"/>
      <c r="J988" s="6"/>
      <c r="K988" s="6"/>
      <c r="L988" s="6"/>
    </row>
    <row r="989">
      <c r="B989" s="8"/>
      <c r="C989" s="8"/>
      <c r="G989" s="6"/>
      <c r="H989" s="6"/>
      <c r="I989" s="6"/>
      <c r="J989" s="6"/>
      <c r="K989" s="6"/>
      <c r="L989" s="6"/>
    </row>
    <row r="990">
      <c r="B990" s="8"/>
      <c r="C990" s="8"/>
      <c r="G990" s="6"/>
      <c r="H990" s="6"/>
      <c r="I990" s="6"/>
      <c r="J990" s="6"/>
      <c r="K990" s="6"/>
      <c r="L990" s="6"/>
    </row>
    <row r="991">
      <c r="B991" s="8"/>
      <c r="C991" s="8"/>
      <c r="G991" s="6"/>
      <c r="H991" s="6"/>
      <c r="I991" s="6"/>
      <c r="J991" s="6"/>
      <c r="K991" s="6"/>
      <c r="L991" s="6"/>
    </row>
    <row r="992">
      <c r="B992" s="8"/>
      <c r="C992" s="8"/>
      <c r="G992" s="6"/>
      <c r="H992" s="6"/>
      <c r="I992" s="6"/>
      <c r="J992" s="6"/>
      <c r="K992" s="6"/>
      <c r="L992" s="6"/>
    </row>
    <row r="993">
      <c r="B993" s="8"/>
      <c r="C993" s="8"/>
      <c r="G993" s="6"/>
      <c r="H993" s="6"/>
      <c r="I993" s="6"/>
      <c r="J993" s="6"/>
      <c r="K993" s="6"/>
      <c r="L993" s="6"/>
    </row>
    <row r="994">
      <c r="B994" s="8"/>
      <c r="C994" s="8"/>
      <c r="G994" s="6"/>
      <c r="H994" s="6"/>
      <c r="I994" s="6"/>
      <c r="J994" s="6"/>
      <c r="K994" s="6"/>
      <c r="L994" s="6"/>
    </row>
    <row r="995">
      <c r="B995" s="8"/>
      <c r="C995" s="8"/>
      <c r="G995" s="6"/>
      <c r="H995" s="6"/>
      <c r="I995" s="6"/>
      <c r="J995" s="6"/>
      <c r="K995" s="6"/>
      <c r="L995" s="6"/>
    </row>
    <row r="996">
      <c r="B996" s="8"/>
      <c r="C996" s="8"/>
      <c r="G996" s="6"/>
      <c r="H996" s="6"/>
      <c r="I996" s="6"/>
      <c r="J996" s="6"/>
      <c r="K996" s="6"/>
      <c r="L996" s="6"/>
    </row>
    <row r="997">
      <c r="B997" s="8"/>
      <c r="C997" s="8"/>
      <c r="G997" s="6"/>
      <c r="H997" s="6"/>
      <c r="I997" s="6"/>
      <c r="J997" s="6"/>
      <c r="K997" s="6"/>
      <c r="L997" s="6"/>
    </row>
    <row r="998">
      <c r="B998" s="8"/>
      <c r="C998" s="8"/>
      <c r="G998" s="6"/>
      <c r="H998" s="6"/>
      <c r="I998" s="6"/>
      <c r="J998" s="6"/>
      <c r="K998" s="6"/>
      <c r="L998" s="6"/>
    </row>
    <row r="999">
      <c r="B999" s="8"/>
      <c r="C999" s="8"/>
      <c r="G999" s="6"/>
      <c r="H999" s="6"/>
      <c r="I999" s="6"/>
      <c r="J999" s="6"/>
      <c r="K999" s="6"/>
      <c r="L999" s="6"/>
    </row>
    <row r="1000">
      <c r="B1000" s="8"/>
      <c r="C1000" s="8"/>
      <c r="G1000" s="6"/>
      <c r="H1000" s="6"/>
      <c r="I1000" s="6"/>
      <c r="J1000" s="6"/>
      <c r="K1000" s="6"/>
      <c r="L1000" s="6"/>
    </row>
    <row r="1001">
      <c r="B1001" s="8"/>
      <c r="C1001" s="8"/>
      <c r="G1001" s="6"/>
      <c r="H1001" s="6"/>
      <c r="I1001" s="6"/>
      <c r="J1001" s="6"/>
      <c r="K1001" s="6"/>
      <c r="L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5"/>
    <col customWidth="1" min="2" max="2" width="52.63"/>
    <col customWidth="1" min="3" max="7" width="4.75"/>
    <col customWidth="1" min="8" max="11" width="6.5"/>
    <col customWidth="1" min="12" max="15" width="7.38"/>
    <col customWidth="1" min="16" max="16" width="8.25"/>
    <col customWidth="1" min="17" max="17" width="8.13"/>
    <col customWidth="1" min="18" max="27" width="8.25"/>
    <col customWidth="1" min="28" max="28" width="9.13"/>
  </cols>
  <sheetData>
    <row r="1">
      <c r="A1" s="11"/>
      <c r="B1" s="12"/>
      <c r="C1" s="13">
        <v>2000.0</v>
      </c>
      <c r="D1" s="13">
        <v>2001.0</v>
      </c>
      <c r="E1" s="13">
        <v>2002.0</v>
      </c>
      <c r="F1" s="13">
        <v>2003.0</v>
      </c>
      <c r="G1" s="13">
        <v>2004.0</v>
      </c>
      <c r="H1" s="13">
        <v>2005.0</v>
      </c>
      <c r="I1" s="13">
        <v>2006.0</v>
      </c>
      <c r="J1" s="13">
        <v>2007.0</v>
      </c>
      <c r="K1" s="13">
        <v>2008.0</v>
      </c>
      <c r="L1" s="13">
        <v>2009.0</v>
      </c>
      <c r="M1" s="13">
        <v>2010.0</v>
      </c>
      <c r="N1" s="13">
        <v>2011.0</v>
      </c>
      <c r="O1" s="13">
        <v>2012.0</v>
      </c>
      <c r="P1" s="13">
        <v>2013.0</v>
      </c>
      <c r="Q1" s="13">
        <v>2014.0</v>
      </c>
      <c r="R1" s="13">
        <v>2015.0</v>
      </c>
      <c r="S1" s="13">
        <v>2016.0</v>
      </c>
      <c r="T1" s="13">
        <v>2017.0</v>
      </c>
      <c r="U1" s="13">
        <v>2018.0</v>
      </c>
      <c r="V1" s="13">
        <v>2019.0</v>
      </c>
      <c r="W1" s="13">
        <v>2020.0</v>
      </c>
      <c r="X1" s="13">
        <v>2021.0</v>
      </c>
      <c r="Y1" s="13">
        <v>2022.0</v>
      </c>
      <c r="Z1" s="13">
        <v>2023.0</v>
      </c>
      <c r="AA1" s="13">
        <v>2024.0</v>
      </c>
      <c r="AB1" s="13">
        <v>2025.0</v>
      </c>
    </row>
    <row r="2">
      <c r="A2" s="13"/>
      <c r="B2" s="14" t="s">
        <v>57</v>
      </c>
      <c r="C2" s="9" t="str">
        <f t="shared" ref="C2:AB2" si="1">If(C5+C29+C37=0, " ",C5+C29+C37)</f>
        <v> </v>
      </c>
      <c r="D2" s="9" t="str">
        <f t="shared" si="1"/>
        <v> </v>
      </c>
      <c r="E2" s="9" t="str">
        <f t="shared" si="1"/>
        <v> </v>
      </c>
      <c r="F2" s="9">
        <f t="shared" si="1"/>
        <v>421</v>
      </c>
      <c r="G2" s="9">
        <f t="shared" si="1"/>
        <v>489</v>
      </c>
      <c r="H2" s="9">
        <f t="shared" si="1"/>
        <v>548</v>
      </c>
      <c r="I2" s="9">
        <f t="shared" si="1"/>
        <v>582</v>
      </c>
      <c r="J2" s="9">
        <f t="shared" si="1"/>
        <v>532</v>
      </c>
      <c r="K2" s="9">
        <f t="shared" si="1"/>
        <v>530</v>
      </c>
      <c r="L2" s="9">
        <f t="shared" si="1"/>
        <v>1835.541909</v>
      </c>
      <c r="M2" s="9">
        <f t="shared" si="1"/>
        <v>1731.165396</v>
      </c>
      <c r="N2" s="9">
        <f t="shared" si="1"/>
        <v>1728.321011</v>
      </c>
      <c r="O2" s="9">
        <f t="shared" si="1"/>
        <v>1656.788922</v>
      </c>
      <c r="P2" s="9">
        <f t="shared" si="1"/>
        <v>1657.494965</v>
      </c>
      <c r="Q2" s="9">
        <f t="shared" si="1"/>
        <v>1665.784971</v>
      </c>
      <c r="R2" s="9">
        <f t="shared" si="1"/>
        <v>1577.547039</v>
      </c>
      <c r="S2" s="9">
        <f t="shared" si="1"/>
        <v>1686.808174</v>
      </c>
      <c r="T2" s="9">
        <f t="shared" si="1"/>
        <v>1620.758809</v>
      </c>
      <c r="U2" s="9">
        <f t="shared" si="1"/>
        <v>1646.961412</v>
      </c>
      <c r="V2" s="9">
        <f t="shared" si="1"/>
        <v>1768.742444</v>
      </c>
      <c r="W2" s="9">
        <f t="shared" si="1"/>
        <v>1633.093563</v>
      </c>
      <c r="X2" s="9">
        <f t="shared" si="1"/>
        <v>1736.744354</v>
      </c>
      <c r="Y2" s="9">
        <f t="shared" si="1"/>
        <v>2051.653662</v>
      </c>
      <c r="Z2" s="9">
        <f t="shared" si="1"/>
        <v>2068.424555</v>
      </c>
      <c r="AA2" s="9">
        <f t="shared" si="1"/>
        <v>2147.82094</v>
      </c>
      <c r="AB2" s="9">
        <f t="shared" si="1"/>
        <v>429.8249902</v>
      </c>
    </row>
    <row r="3">
      <c r="A3" s="13"/>
      <c r="B3" s="14" t="s">
        <v>58</v>
      </c>
      <c r="C3" s="9" t="str">
        <f t="shared" ref="C3:AB3" si="2">if(C8+C31+C43=0, " ",C8+C31+C43)</f>
        <v> </v>
      </c>
      <c r="D3" s="9" t="str">
        <f t="shared" si="2"/>
        <v> </v>
      </c>
      <c r="E3" s="9" t="str">
        <f t="shared" si="2"/>
        <v> </v>
      </c>
      <c r="F3" s="9" t="str">
        <f t="shared" si="2"/>
        <v> </v>
      </c>
      <c r="G3" s="9">
        <f t="shared" si="2"/>
        <v>172</v>
      </c>
      <c r="H3" s="9">
        <f t="shared" si="2"/>
        <v>178.4</v>
      </c>
      <c r="I3" s="9">
        <f t="shared" si="2"/>
        <v>188.5</v>
      </c>
      <c r="J3" s="9">
        <f t="shared" si="2"/>
        <v>174.2</v>
      </c>
      <c r="K3" s="9">
        <f t="shared" si="2"/>
        <v>183.2</v>
      </c>
      <c r="L3" s="9">
        <f t="shared" si="2"/>
        <v>995.204808</v>
      </c>
      <c r="M3" s="9">
        <f t="shared" si="2"/>
        <v>965.333459</v>
      </c>
      <c r="N3" s="9">
        <f t="shared" si="2"/>
        <v>949.672561</v>
      </c>
      <c r="O3" s="9">
        <f t="shared" si="2"/>
        <v>902.579619</v>
      </c>
      <c r="P3" s="9">
        <f t="shared" si="2"/>
        <v>899.529107</v>
      </c>
      <c r="Q3" s="9">
        <f t="shared" si="2"/>
        <v>905.750839</v>
      </c>
      <c r="R3" s="9">
        <f t="shared" si="2"/>
        <v>857.262613</v>
      </c>
      <c r="S3" s="9">
        <f t="shared" si="2"/>
        <v>908.660812</v>
      </c>
      <c r="T3" s="9">
        <f t="shared" si="2"/>
        <v>872.491815</v>
      </c>
      <c r="U3" s="9">
        <f t="shared" si="2"/>
        <v>880.818437</v>
      </c>
      <c r="V3" s="9">
        <f t="shared" si="2"/>
        <v>950.768578</v>
      </c>
      <c r="W3" s="9">
        <f t="shared" si="2"/>
        <v>1012.944591</v>
      </c>
      <c r="X3" s="9">
        <f t="shared" si="2"/>
        <v>947.553062</v>
      </c>
      <c r="Y3" s="9">
        <f t="shared" si="2"/>
        <v>1074.736182</v>
      </c>
      <c r="Z3" s="9">
        <f t="shared" si="2"/>
        <v>1108.343932</v>
      </c>
      <c r="AA3" s="9">
        <f t="shared" si="2"/>
        <v>1199.136971</v>
      </c>
      <c r="AB3" s="9">
        <f t="shared" si="2"/>
        <v>252.005294</v>
      </c>
    </row>
    <row r="4">
      <c r="A4" s="13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7"/>
      <c r="P4" s="17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1"/>
    </row>
    <row r="5">
      <c r="A5" s="18" t="s">
        <v>59</v>
      </c>
      <c r="B5" s="19" t="s">
        <v>60</v>
      </c>
      <c r="C5" s="20"/>
      <c r="D5" s="20"/>
      <c r="E5" s="20"/>
      <c r="F5" s="20"/>
      <c r="G5" s="20"/>
      <c r="H5" s="20"/>
      <c r="I5" s="20"/>
      <c r="J5" s="20"/>
      <c r="K5" s="20"/>
      <c r="L5" s="21">
        <v>371.0</v>
      </c>
      <c r="M5" s="21">
        <v>358.0</v>
      </c>
      <c r="N5" s="21">
        <v>370.0</v>
      </c>
      <c r="O5" s="21">
        <v>367.024827</v>
      </c>
      <c r="P5" s="22">
        <f>'Détail'!P8/1000000</f>
        <v>377.7352572</v>
      </c>
      <c r="Q5" s="22">
        <f>'Détail'!P17/1000000</f>
        <v>387.6419702</v>
      </c>
      <c r="R5" s="22">
        <f>'Détail'!P26/1000000</f>
        <v>376.8226432</v>
      </c>
      <c r="S5" s="22">
        <f>'Détail'!P35/1000000</f>
        <v>398.3390652</v>
      </c>
      <c r="T5" s="22">
        <f>'Détail'!P44/1000000</f>
        <v>386.4865412</v>
      </c>
      <c r="U5" s="22">
        <f>'Détail'!P53/1000000</f>
        <v>387.9625152</v>
      </c>
      <c r="V5" s="22">
        <f>'Détail'!P62/1000000</f>
        <v>408.0576262</v>
      </c>
      <c r="W5" s="22">
        <f>'Détail'!P71/1000000</f>
        <v>374.2878862</v>
      </c>
      <c r="X5" s="22">
        <f>'Détail'!P80/1000000</f>
        <v>396.9912662</v>
      </c>
      <c r="Y5" s="22">
        <f>'Détail'!P89/1000000</f>
        <v>435.4841472</v>
      </c>
      <c r="Z5" s="22">
        <f>'Détail'!P98/1000000</f>
        <v>420.7080162</v>
      </c>
      <c r="AA5" s="22">
        <f>'Détail'!P107/1000000</f>
        <v>438.2352472</v>
      </c>
      <c r="AB5" s="22">
        <f>'Détail'!P116/1000000</f>
        <v>429.8249902</v>
      </c>
    </row>
    <row r="6">
      <c r="A6" s="11"/>
      <c r="B6" s="23" t="s">
        <v>61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24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9">
        <v>84.6</v>
      </c>
      <c r="AB6" s="13">
        <v>81.4</v>
      </c>
    </row>
    <row r="7">
      <c r="A7" s="11"/>
      <c r="B7" s="23" t="s">
        <v>62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24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9">
        <v>15.4</v>
      </c>
      <c r="AB7" s="11">
        <f>100-AB6</f>
        <v>18.6</v>
      </c>
    </row>
    <row r="8">
      <c r="A8" s="11"/>
      <c r="B8" s="25" t="s">
        <v>63</v>
      </c>
      <c r="C8" s="16"/>
      <c r="D8" s="16"/>
      <c r="E8" s="16"/>
      <c r="F8" s="16"/>
      <c r="G8" s="17">
        <v>172.0</v>
      </c>
      <c r="H8" s="26">
        <v>178.4</v>
      </c>
      <c r="I8" s="26">
        <v>188.5</v>
      </c>
      <c r="J8" s="26">
        <v>174.2</v>
      </c>
      <c r="K8" s="26">
        <v>183.2</v>
      </c>
      <c r="L8" s="9">
        <v>190.7</v>
      </c>
      <c r="M8" s="9">
        <v>198.7</v>
      </c>
      <c r="N8" s="9">
        <v>203.3</v>
      </c>
      <c r="O8" s="17">
        <v>203.0</v>
      </c>
      <c r="P8" s="17">
        <v>206.0</v>
      </c>
      <c r="Q8" s="9">
        <v>209.9</v>
      </c>
      <c r="R8" s="9">
        <v>209.5</v>
      </c>
      <c r="S8" s="9">
        <v>216.8</v>
      </c>
      <c r="T8" s="9">
        <v>216.2</v>
      </c>
      <c r="U8" s="9">
        <v>216.4</v>
      </c>
      <c r="V8" s="9">
        <v>224.3</v>
      </c>
      <c r="W8" s="9">
        <v>224.7</v>
      </c>
      <c r="X8" s="9">
        <v>235.0</v>
      </c>
      <c r="Y8" s="9">
        <v>243.4</v>
      </c>
      <c r="Z8" s="9">
        <v>243.7</v>
      </c>
      <c r="AA8" s="9">
        <v>258.23616</v>
      </c>
      <c r="AB8" s="27">
        <v>252.005294</v>
      </c>
    </row>
    <row r="9">
      <c r="A9" s="11"/>
      <c r="B9" s="23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9"/>
      <c r="AA9" s="9"/>
      <c r="AB9" s="11"/>
    </row>
    <row r="10">
      <c r="A10" s="11"/>
      <c r="B10" s="25" t="s">
        <v>64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9">
        <v>68.120081</v>
      </c>
      <c r="P10" s="9">
        <v>69.596211</v>
      </c>
      <c r="Q10" s="9">
        <v>71.874502</v>
      </c>
      <c r="R10" s="9">
        <v>70.463545</v>
      </c>
      <c r="S10" s="9">
        <v>74.5</v>
      </c>
      <c r="T10" s="9">
        <v>71.6</v>
      </c>
      <c r="U10" s="9">
        <v>71.883425</v>
      </c>
      <c r="V10" s="9">
        <v>75.876415</v>
      </c>
      <c r="W10" s="9">
        <v>70.078282</v>
      </c>
      <c r="X10" s="9">
        <v>75.00421</v>
      </c>
      <c r="Y10" s="9">
        <v>80.909395</v>
      </c>
      <c r="Z10" s="9">
        <v>79.966479</v>
      </c>
      <c r="AA10" s="9">
        <v>79.386684</v>
      </c>
      <c r="AB10" s="27">
        <v>79.196622</v>
      </c>
    </row>
    <row r="11">
      <c r="A11" s="11"/>
      <c r="B11" s="23" t="s">
        <v>65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9"/>
      <c r="AA11" s="17">
        <v>734.0</v>
      </c>
      <c r="AB11" s="13">
        <v>707.0</v>
      </c>
    </row>
    <row r="12">
      <c r="A12" s="11"/>
      <c r="B12" s="23" t="s">
        <v>66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9"/>
      <c r="AA12" s="17">
        <v>739.0</v>
      </c>
      <c r="AB12" s="13">
        <v>733.0</v>
      </c>
    </row>
    <row r="13">
      <c r="A13" s="11"/>
      <c r="B13" s="23" t="s">
        <v>67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9"/>
      <c r="AA13" s="17">
        <v>898.0</v>
      </c>
      <c r="AB13" s="13">
        <v>902.0</v>
      </c>
    </row>
    <row r="14">
      <c r="A14" s="28"/>
      <c r="B14" s="29" t="s">
        <v>68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>
        <v>2651.0</v>
      </c>
      <c r="Q14" s="31">
        <v>2651.0</v>
      </c>
      <c r="R14" s="31">
        <v>2651.0</v>
      </c>
      <c r="S14" s="31">
        <v>2601.0</v>
      </c>
      <c r="T14" s="31">
        <v>2601.0</v>
      </c>
      <c r="U14" s="31">
        <v>2501.0</v>
      </c>
      <c r="V14" s="31">
        <v>2451.0</v>
      </c>
      <c r="W14" s="31">
        <v>2400.0</v>
      </c>
      <c r="X14" s="31">
        <v>2400.0</v>
      </c>
      <c r="Y14" s="31">
        <v>2400.0</v>
      </c>
      <c r="Z14" s="31">
        <v>2359.0</v>
      </c>
      <c r="AA14" s="31">
        <v>2371.0</v>
      </c>
      <c r="AB14" s="32">
        <v>2342.0</v>
      </c>
    </row>
    <row r="15">
      <c r="A15" s="11"/>
      <c r="B15" s="23" t="s">
        <v>69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>
        <f t="shared" ref="P15:AB15" si="3">P10*1000000/P14</f>
        <v>26252.81441</v>
      </c>
      <c r="Q15" s="9">
        <f t="shared" si="3"/>
        <v>27112.22256</v>
      </c>
      <c r="R15" s="9">
        <f t="shared" si="3"/>
        <v>26579.9868</v>
      </c>
      <c r="S15" s="9">
        <f t="shared" si="3"/>
        <v>28642.82968</v>
      </c>
      <c r="T15" s="9">
        <f t="shared" si="3"/>
        <v>27527.87389</v>
      </c>
      <c r="U15" s="9">
        <f t="shared" si="3"/>
        <v>28741.87325</v>
      </c>
      <c r="V15" s="9">
        <f t="shared" si="3"/>
        <v>30957.32966</v>
      </c>
      <c r="W15" s="9">
        <f t="shared" si="3"/>
        <v>29199.28417</v>
      </c>
      <c r="X15" s="9">
        <f t="shared" si="3"/>
        <v>31251.75417</v>
      </c>
      <c r="Y15" s="9">
        <f t="shared" si="3"/>
        <v>33712.24792</v>
      </c>
      <c r="Z15" s="9">
        <f t="shared" si="3"/>
        <v>33898.46503</v>
      </c>
      <c r="AA15" s="9">
        <f t="shared" si="3"/>
        <v>33482.36356</v>
      </c>
      <c r="AB15" s="9">
        <f t="shared" si="3"/>
        <v>33815.80786</v>
      </c>
    </row>
    <row r="16">
      <c r="A16" s="11"/>
      <c r="B16" s="2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9"/>
      <c r="AA16" s="9"/>
      <c r="AB16" s="11"/>
    </row>
    <row r="17">
      <c r="A17" s="11"/>
      <c r="B17" s="25" t="s">
        <v>70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9">
        <v>2.24965</v>
      </c>
      <c r="X17" s="9">
        <v>2.274249</v>
      </c>
      <c r="Y17" s="9">
        <v>2.37152</v>
      </c>
      <c r="Z17" s="9">
        <v>2.312064</v>
      </c>
      <c r="AA17" s="9">
        <v>2.287502</v>
      </c>
      <c r="AB17" s="27">
        <v>2.241173</v>
      </c>
    </row>
    <row r="18">
      <c r="A18" s="11"/>
      <c r="B18" s="23" t="s">
        <v>71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9">
        <v>9.7</v>
      </c>
      <c r="X18" s="9">
        <v>9.8</v>
      </c>
      <c r="Y18" s="9">
        <v>9.7</v>
      </c>
      <c r="Z18" s="9">
        <v>9.2</v>
      </c>
      <c r="AA18" s="9">
        <v>9.2</v>
      </c>
      <c r="AB18" s="27">
        <v>8.9</v>
      </c>
    </row>
    <row r="19">
      <c r="A19" s="11"/>
      <c r="B19" s="23" t="s">
        <v>72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>
        <f t="shared" ref="W19:AB19" si="4">((W17*1000000)/W18)/13</f>
        <v>17840.20619</v>
      </c>
      <c r="X19" s="9">
        <f t="shared" si="4"/>
        <v>17851.24804</v>
      </c>
      <c r="Y19" s="9">
        <f t="shared" si="4"/>
        <v>18806.66138</v>
      </c>
      <c r="Z19" s="9">
        <f t="shared" si="4"/>
        <v>19331.6388</v>
      </c>
      <c r="AA19" s="9">
        <f t="shared" si="4"/>
        <v>19126.2709</v>
      </c>
      <c r="AB19" s="9">
        <f t="shared" si="4"/>
        <v>19370.55315</v>
      </c>
    </row>
    <row r="20">
      <c r="A20" s="11"/>
      <c r="B20" s="25" t="s">
        <v>73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9">
        <v>16.336196</v>
      </c>
      <c r="P20" s="9">
        <v>15.230183</v>
      </c>
      <c r="Q20" s="9">
        <v>15.23539</v>
      </c>
      <c r="R20" s="9">
        <v>13.817968</v>
      </c>
      <c r="S20" s="9">
        <v>13.742552</v>
      </c>
      <c r="T20" s="9">
        <v>14.041487</v>
      </c>
      <c r="U20" s="9">
        <v>14.141136</v>
      </c>
      <c r="V20" s="9">
        <v>13.411041</v>
      </c>
      <c r="W20" s="9">
        <v>11.219172</v>
      </c>
      <c r="X20" s="9">
        <v>11.374329</v>
      </c>
      <c r="Y20" s="9">
        <v>13.264486</v>
      </c>
      <c r="Z20" s="9">
        <v>13.00049</v>
      </c>
      <c r="AA20" s="9">
        <v>15.354708</v>
      </c>
      <c r="AB20" s="27">
        <v>13.925272</v>
      </c>
    </row>
    <row r="21">
      <c r="A21" s="11"/>
      <c r="B21" s="12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1"/>
    </row>
    <row r="22">
      <c r="A22" s="13"/>
      <c r="B22" s="25" t="s">
        <v>74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9">
        <v>6.481835</v>
      </c>
      <c r="Q22" s="9">
        <v>10.30562</v>
      </c>
      <c r="R22" s="9">
        <v>6.592762</v>
      </c>
      <c r="S22" s="9">
        <v>10.650175</v>
      </c>
      <c r="T22" s="9">
        <v>10.63213</v>
      </c>
      <c r="U22" s="9">
        <v>10.652251</v>
      </c>
      <c r="V22" s="9">
        <v>11.051532</v>
      </c>
      <c r="W22" s="9">
        <v>11.082441</v>
      </c>
      <c r="X22" s="9">
        <v>11.599846</v>
      </c>
      <c r="Y22" s="9">
        <v>19.507412</v>
      </c>
      <c r="Z22" s="9">
        <v>19.519996</v>
      </c>
      <c r="AA22" s="9">
        <v>19.567627</v>
      </c>
      <c r="AB22" s="27">
        <v>19.608735</v>
      </c>
    </row>
    <row r="23">
      <c r="A23" s="11"/>
      <c r="B23" s="25" t="s">
        <v>75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9">
        <v>3.742702</v>
      </c>
      <c r="Q23" s="9">
        <v>3.832166</v>
      </c>
      <c r="R23" s="9">
        <v>3.829008</v>
      </c>
      <c r="S23" s="9">
        <v>3.752897</v>
      </c>
      <c r="T23" s="9">
        <v>3.573387</v>
      </c>
      <c r="U23" s="9">
        <v>3.387602</v>
      </c>
      <c r="V23" s="9">
        <v>3.313814</v>
      </c>
      <c r="W23" s="9">
        <v>3.030524</v>
      </c>
      <c r="X23" s="9">
        <v>3.043011</v>
      </c>
      <c r="Y23" s="9">
        <v>3.434566</v>
      </c>
      <c r="Z23" s="9">
        <v>3.420448</v>
      </c>
      <c r="AA23" s="9">
        <v>3.2342</v>
      </c>
      <c r="AB23" s="27">
        <v>2.870533</v>
      </c>
    </row>
    <row r="24">
      <c r="A24" s="11"/>
      <c r="B24" s="12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1"/>
    </row>
    <row r="25">
      <c r="A25" s="11"/>
      <c r="B25" s="25" t="s">
        <v>76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9">
        <v>1.888676</v>
      </c>
      <c r="Q25" s="9">
        <v>1.93821</v>
      </c>
      <c r="R25" s="9">
        <v>1.884113</v>
      </c>
      <c r="S25" s="9">
        <v>1.99</v>
      </c>
      <c r="T25" s="9">
        <v>1.932433</v>
      </c>
      <c r="U25" s="9">
        <v>1.939813</v>
      </c>
      <c r="V25" s="9">
        <v>2.040288</v>
      </c>
      <c r="W25" s="9">
        <v>1.87</v>
      </c>
      <c r="X25" s="9">
        <v>1.984956</v>
      </c>
      <c r="Y25" s="9">
        <v>2.177421</v>
      </c>
      <c r="Z25" s="9">
        <v>2.10354</v>
      </c>
      <c r="AA25" s="9">
        <v>2.191176</v>
      </c>
      <c r="AB25" s="27">
        <v>2.149125</v>
      </c>
    </row>
    <row r="26">
      <c r="A26" s="16"/>
      <c r="B26" s="33" t="s">
        <v>77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>
        <v>174000.0</v>
      </c>
      <c r="AB26" s="17">
        <v>180000.0</v>
      </c>
    </row>
    <row r="27">
      <c r="A27" s="11"/>
      <c r="B27" s="25" t="s">
        <v>78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>
        <v>1715.0</v>
      </c>
      <c r="X27" s="17">
        <v>1266.0</v>
      </c>
      <c r="Y27" s="17">
        <v>2838.0</v>
      </c>
      <c r="Z27" s="17">
        <v>2831.0</v>
      </c>
      <c r="AA27" s="17">
        <v>2944.0</v>
      </c>
      <c r="AB27" s="13">
        <v>2959.0</v>
      </c>
    </row>
    <row r="28">
      <c r="A28" s="11"/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8" t="s">
        <v>79</v>
      </c>
      <c r="B29" s="19" t="s">
        <v>80</v>
      </c>
      <c r="C29" s="20"/>
      <c r="D29" s="20"/>
      <c r="E29" s="20"/>
      <c r="F29" s="21">
        <v>421.0</v>
      </c>
      <c r="G29" s="21">
        <v>489.0</v>
      </c>
      <c r="H29" s="21">
        <v>548.0</v>
      </c>
      <c r="I29" s="21">
        <v>582.0</v>
      </c>
      <c r="J29" s="21">
        <v>532.0</v>
      </c>
      <c r="K29" s="21">
        <v>530.0</v>
      </c>
      <c r="L29" s="22">
        <v>528.224403</v>
      </c>
      <c r="M29" s="22">
        <v>504.428104</v>
      </c>
      <c r="N29" s="22">
        <v>533.531356</v>
      </c>
      <c r="O29" s="22">
        <v>532.239014</v>
      </c>
      <c r="P29" s="22">
        <v>533.591829</v>
      </c>
      <c r="Q29" s="22">
        <v>568.331094</v>
      </c>
      <c r="R29" s="22">
        <v>518.563445</v>
      </c>
      <c r="S29" s="22">
        <v>598.739168</v>
      </c>
      <c r="T29" s="22">
        <v>553.461839</v>
      </c>
      <c r="U29" s="22">
        <v>555.399824</v>
      </c>
      <c r="V29" s="22">
        <v>594.73646</v>
      </c>
      <c r="W29" s="22">
        <v>620.02534</v>
      </c>
      <c r="X29" s="22">
        <v>699.493234</v>
      </c>
      <c r="Y29" s="22">
        <v>736.542402</v>
      </c>
      <c r="Z29" s="22">
        <v>738.153115</v>
      </c>
      <c r="AA29" s="22">
        <v>812.106987</v>
      </c>
      <c r="AB29" s="34"/>
    </row>
    <row r="30">
      <c r="A30" s="11"/>
      <c r="B30" s="25" t="s">
        <v>81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7">
        <v>2.684662</v>
      </c>
      <c r="Q30" s="27">
        <v>2.857357</v>
      </c>
      <c r="R30" s="27">
        <v>2.582677</v>
      </c>
      <c r="S30" s="27">
        <v>2.981379</v>
      </c>
      <c r="T30" s="27">
        <v>2.770326</v>
      </c>
      <c r="U30" s="27">
        <v>2.764488</v>
      </c>
      <c r="V30" s="27">
        <v>2.977186</v>
      </c>
      <c r="W30" s="27">
        <v>3.080985</v>
      </c>
      <c r="X30" s="27">
        <v>3.482176</v>
      </c>
      <c r="Y30" s="27">
        <v>3.674887</v>
      </c>
      <c r="Z30" s="9">
        <v>4.050498</v>
      </c>
      <c r="AA30" s="9">
        <v>3.683054</v>
      </c>
      <c r="AB30" s="11"/>
    </row>
    <row r="31">
      <c r="A31" s="11"/>
      <c r="B31" s="25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9">
        <v>325.51389</v>
      </c>
      <c r="M31" s="9">
        <v>316.835685</v>
      </c>
      <c r="N31" s="9">
        <v>327.117995</v>
      </c>
      <c r="O31" s="9">
        <v>325.95419</v>
      </c>
      <c r="P31" s="27">
        <v>336.97984</v>
      </c>
      <c r="Q31" s="27">
        <v>359.79858</v>
      </c>
      <c r="R31" s="27">
        <v>327.66866</v>
      </c>
      <c r="S31" s="27">
        <v>368.61025</v>
      </c>
      <c r="T31" s="27">
        <v>339.39147</v>
      </c>
      <c r="U31" s="27">
        <v>331.99248</v>
      </c>
      <c r="V31" s="27">
        <v>362.3228</v>
      </c>
      <c r="W31" s="27">
        <v>383.025585</v>
      </c>
      <c r="X31" s="27">
        <v>437.841837</v>
      </c>
      <c r="Y31" s="27">
        <v>434.237075</v>
      </c>
      <c r="Z31" s="9">
        <v>455.37004</v>
      </c>
      <c r="AA31" s="9">
        <v>540.05376</v>
      </c>
      <c r="AB31" s="11"/>
    </row>
    <row r="32">
      <c r="A32" s="11"/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6"/>
      <c r="AA32" s="16"/>
      <c r="AB32" s="11"/>
    </row>
    <row r="33">
      <c r="A33" s="13" t="s">
        <v>83</v>
      </c>
      <c r="B33" s="25" t="s">
        <v>84</v>
      </c>
      <c r="C33" s="35"/>
      <c r="D33" s="35"/>
      <c r="E33" s="35"/>
      <c r="F33" s="35"/>
      <c r="G33" s="35"/>
      <c r="H33" s="35"/>
      <c r="I33" s="35"/>
      <c r="J33" s="35"/>
      <c r="K33" s="35"/>
      <c r="L33" s="27">
        <v>553.533864</v>
      </c>
      <c r="M33" s="27">
        <v>524.151435</v>
      </c>
      <c r="N33" s="27">
        <v>494.552495</v>
      </c>
      <c r="O33" s="27">
        <v>451.212746</v>
      </c>
      <c r="P33" s="27">
        <v>449.560978</v>
      </c>
      <c r="Q33" s="27">
        <v>426.206278</v>
      </c>
      <c r="R33" s="27">
        <v>408.847926</v>
      </c>
      <c r="S33" s="27">
        <v>412.683571</v>
      </c>
      <c r="T33" s="27">
        <v>410.791681</v>
      </c>
      <c r="U33" s="27">
        <v>426.382368</v>
      </c>
      <c r="V33" s="27">
        <v>448.962732</v>
      </c>
      <c r="W33" s="27">
        <v>284.588605</v>
      </c>
      <c r="X33" s="27">
        <v>246.071855</v>
      </c>
      <c r="Y33" s="27">
        <v>375.12229</v>
      </c>
      <c r="Z33" s="9">
        <v>365.349357</v>
      </c>
      <c r="AA33" s="9">
        <v>341.075849</v>
      </c>
      <c r="AB33" s="11"/>
    </row>
    <row r="34">
      <c r="A34" s="11"/>
      <c r="B34" s="25" t="s">
        <v>85</v>
      </c>
      <c r="C34" s="35"/>
      <c r="D34" s="35"/>
      <c r="E34" s="35"/>
      <c r="F34" s="35"/>
      <c r="G34" s="35"/>
      <c r="H34" s="35"/>
      <c r="I34" s="35"/>
      <c r="J34" s="35"/>
      <c r="K34" s="35"/>
      <c r="L34" s="27">
        <v>382.783642</v>
      </c>
      <c r="M34" s="27">
        <v>344.585857</v>
      </c>
      <c r="N34" s="27">
        <v>330.23716</v>
      </c>
      <c r="O34" s="27">
        <v>306.312335</v>
      </c>
      <c r="P34" s="27">
        <v>296.606901</v>
      </c>
      <c r="Q34" s="27">
        <v>283.605629</v>
      </c>
      <c r="R34" s="27">
        <v>273.313025</v>
      </c>
      <c r="S34" s="27">
        <v>277.04637</v>
      </c>
      <c r="T34" s="27">
        <v>270.018748</v>
      </c>
      <c r="U34" s="27">
        <v>277.216705</v>
      </c>
      <c r="V34" s="27">
        <v>293.491912</v>
      </c>
      <c r="W34" s="27">
        <v>167.377758</v>
      </c>
      <c r="X34" s="27">
        <v>159.726142</v>
      </c>
      <c r="Y34" s="27">
        <v>254.448668</v>
      </c>
      <c r="Z34" s="9">
        <v>258.507413</v>
      </c>
      <c r="AA34" s="9">
        <v>246.455547</v>
      </c>
      <c r="AB34" s="11"/>
    </row>
    <row r="35">
      <c r="A35" s="11"/>
      <c r="B35" s="23" t="s">
        <v>86</v>
      </c>
      <c r="C35" s="16" t="str">
        <f t="shared" ref="C35:AA35" si="5">if(C33+C34=0,"",C33+C34)</f>
        <v/>
      </c>
      <c r="D35" s="16" t="str">
        <f t="shared" si="5"/>
        <v/>
      </c>
      <c r="E35" s="16" t="str">
        <f t="shared" si="5"/>
        <v/>
      </c>
      <c r="F35" s="16" t="str">
        <f t="shared" si="5"/>
        <v/>
      </c>
      <c r="G35" s="16" t="str">
        <f t="shared" si="5"/>
        <v/>
      </c>
      <c r="H35" s="16" t="str">
        <f t="shared" si="5"/>
        <v/>
      </c>
      <c r="I35" s="16" t="str">
        <f t="shared" si="5"/>
        <v/>
      </c>
      <c r="J35" s="16" t="str">
        <f t="shared" si="5"/>
        <v/>
      </c>
      <c r="K35" s="16" t="str">
        <f t="shared" si="5"/>
        <v/>
      </c>
      <c r="L35" s="16">
        <f t="shared" si="5"/>
        <v>936.317506</v>
      </c>
      <c r="M35" s="16">
        <f t="shared" si="5"/>
        <v>868.737292</v>
      </c>
      <c r="N35" s="16">
        <f t="shared" si="5"/>
        <v>824.789655</v>
      </c>
      <c r="O35" s="16">
        <f t="shared" si="5"/>
        <v>757.525081</v>
      </c>
      <c r="P35" s="16">
        <f t="shared" si="5"/>
        <v>746.167879</v>
      </c>
      <c r="Q35" s="16">
        <f t="shared" si="5"/>
        <v>709.811907</v>
      </c>
      <c r="R35" s="16">
        <f t="shared" si="5"/>
        <v>682.160951</v>
      </c>
      <c r="S35" s="16">
        <f t="shared" si="5"/>
        <v>689.729941</v>
      </c>
      <c r="T35" s="16">
        <f t="shared" si="5"/>
        <v>680.810429</v>
      </c>
      <c r="U35" s="16">
        <f t="shared" si="5"/>
        <v>703.599073</v>
      </c>
      <c r="V35" s="16">
        <f t="shared" si="5"/>
        <v>742.454644</v>
      </c>
      <c r="W35" s="16">
        <f t="shared" si="5"/>
        <v>451.966363</v>
      </c>
      <c r="X35" s="16">
        <f t="shared" si="5"/>
        <v>405.797997</v>
      </c>
      <c r="Y35" s="16">
        <f t="shared" si="5"/>
        <v>629.570958</v>
      </c>
      <c r="Z35" s="16">
        <f t="shared" si="5"/>
        <v>623.85677</v>
      </c>
      <c r="AA35" s="16">
        <f t="shared" si="5"/>
        <v>587.531396</v>
      </c>
      <c r="AB35" s="11"/>
    </row>
    <row r="36">
      <c r="A36" s="11"/>
      <c r="B36" s="25" t="s">
        <v>87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27">
        <v>23.493714</v>
      </c>
      <c r="W36" s="27">
        <v>186.813974</v>
      </c>
      <c r="X36" s="27">
        <v>234.461857</v>
      </c>
      <c r="Y36" s="27">
        <v>250.056155</v>
      </c>
      <c r="Z36" s="9">
        <v>285.706654</v>
      </c>
      <c r="AA36" s="9">
        <v>309.94731</v>
      </c>
      <c r="AB36" s="11"/>
    </row>
    <row r="37">
      <c r="A37" s="36" t="s">
        <v>83</v>
      </c>
      <c r="B37" s="36" t="s">
        <v>88</v>
      </c>
      <c r="C37" s="37" t="str">
        <f t="shared" ref="C37:AA37" si="6">if(C33+C34+C36=0,"",C33+C34+C36)</f>
        <v/>
      </c>
      <c r="D37" s="37" t="str">
        <f t="shared" si="6"/>
        <v/>
      </c>
      <c r="E37" s="37" t="str">
        <f t="shared" si="6"/>
        <v/>
      </c>
      <c r="F37" s="37" t="str">
        <f t="shared" si="6"/>
        <v/>
      </c>
      <c r="G37" s="37" t="str">
        <f t="shared" si="6"/>
        <v/>
      </c>
      <c r="H37" s="37" t="str">
        <f t="shared" si="6"/>
        <v/>
      </c>
      <c r="I37" s="37" t="str">
        <f t="shared" si="6"/>
        <v/>
      </c>
      <c r="J37" s="37" t="str">
        <f t="shared" si="6"/>
        <v/>
      </c>
      <c r="K37" s="37" t="str">
        <f t="shared" si="6"/>
        <v/>
      </c>
      <c r="L37" s="38">
        <f t="shared" si="6"/>
        <v>936.317506</v>
      </c>
      <c r="M37" s="38">
        <f t="shared" si="6"/>
        <v>868.737292</v>
      </c>
      <c r="N37" s="38">
        <f t="shared" si="6"/>
        <v>824.789655</v>
      </c>
      <c r="O37" s="38">
        <f t="shared" si="6"/>
        <v>757.525081</v>
      </c>
      <c r="P37" s="38">
        <f t="shared" si="6"/>
        <v>746.167879</v>
      </c>
      <c r="Q37" s="38">
        <f t="shared" si="6"/>
        <v>709.811907</v>
      </c>
      <c r="R37" s="38">
        <f t="shared" si="6"/>
        <v>682.160951</v>
      </c>
      <c r="S37" s="38">
        <f t="shared" si="6"/>
        <v>689.729941</v>
      </c>
      <c r="T37" s="38">
        <f t="shared" si="6"/>
        <v>680.810429</v>
      </c>
      <c r="U37" s="38">
        <f t="shared" si="6"/>
        <v>703.599073</v>
      </c>
      <c r="V37" s="38">
        <f t="shared" si="6"/>
        <v>765.948358</v>
      </c>
      <c r="W37" s="38">
        <f t="shared" si="6"/>
        <v>638.780337</v>
      </c>
      <c r="X37" s="38">
        <f t="shared" si="6"/>
        <v>640.259854</v>
      </c>
      <c r="Y37" s="38">
        <f t="shared" si="6"/>
        <v>879.627113</v>
      </c>
      <c r="Z37" s="39">
        <f t="shared" si="6"/>
        <v>909.563424</v>
      </c>
      <c r="AA37" s="39">
        <f t="shared" si="6"/>
        <v>897.478706</v>
      </c>
      <c r="AB37" s="37"/>
    </row>
    <row r="38">
      <c r="A38" s="11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6"/>
      <c r="AA38" s="16"/>
      <c r="AB38" s="11"/>
    </row>
    <row r="39">
      <c r="A39" s="11"/>
      <c r="B39" s="25" t="s">
        <v>89</v>
      </c>
      <c r="C39" s="35"/>
      <c r="D39" s="35"/>
      <c r="E39" s="35"/>
      <c r="F39" s="35"/>
      <c r="G39" s="35"/>
      <c r="H39" s="35"/>
      <c r="I39" s="35"/>
      <c r="J39" s="35"/>
      <c r="K39" s="35"/>
      <c r="L39" s="27">
        <v>296.261555</v>
      </c>
      <c r="M39" s="27">
        <v>293.092505</v>
      </c>
      <c r="N39" s="27">
        <v>271.048016</v>
      </c>
      <c r="O39" s="27">
        <v>237.917691</v>
      </c>
      <c r="P39" s="27">
        <v>227.766629</v>
      </c>
      <c r="Q39" s="27">
        <v>212.437743</v>
      </c>
      <c r="R39" s="27">
        <v>202.532961</v>
      </c>
      <c r="S39" s="27">
        <v>204.982386</v>
      </c>
      <c r="T39" s="27">
        <v>204.512911</v>
      </c>
      <c r="U39" s="27">
        <v>213.667478</v>
      </c>
      <c r="V39" s="27">
        <v>227.305737</v>
      </c>
      <c r="W39" s="27">
        <v>129.420442</v>
      </c>
      <c r="X39" s="27">
        <v>108.906974</v>
      </c>
      <c r="Y39" s="27">
        <v>181.53583</v>
      </c>
      <c r="Z39" s="9">
        <v>175.830452</v>
      </c>
      <c r="AA39" s="9">
        <v>161.704557</v>
      </c>
      <c r="AB39" s="11"/>
    </row>
    <row r="40">
      <c r="A40" s="11"/>
      <c r="B40" s="25" t="s">
        <v>90</v>
      </c>
      <c r="C40" s="35"/>
      <c r="D40" s="35"/>
      <c r="E40" s="35"/>
      <c r="F40" s="35"/>
      <c r="G40" s="35"/>
      <c r="H40" s="35"/>
      <c r="I40" s="35"/>
      <c r="J40" s="35"/>
      <c r="K40" s="35"/>
      <c r="L40" s="27">
        <v>182.729363</v>
      </c>
      <c r="M40" s="27">
        <v>156.705269</v>
      </c>
      <c r="N40" s="27">
        <v>148.20655</v>
      </c>
      <c r="O40" s="27">
        <v>135.707738</v>
      </c>
      <c r="P40" s="27">
        <v>128.782638</v>
      </c>
      <c r="Q40" s="27">
        <v>123.614516</v>
      </c>
      <c r="R40" s="27">
        <v>117.560992</v>
      </c>
      <c r="S40" s="27">
        <v>118.268176</v>
      </c>
      <c r="T40" s="27">
        <v>112.387434</v>
      </c>
      <c r="U40" s="27">
        <v>118.758479</v>
      </c>
      <c r="V40" s="27">
        <v>129.38104</v>
      </c>
      <c r="W40" s="27">
        <v>197.749365</v>
      </c>
      <c r="X40" s="27">
        <v>66.123699</v>
      </c>
      <c r="Y40" s="27">
        <v>112.244897</v>
      </c>
      <c r="Z40" s="9">
        <v>113.332111</v>
      </c>
      <c r="AA40" s="9">
        <v>107.050434</v>
      </c>
      <c r="AB40" s="11"/>
    </row>
    <row r="41">
      <c r="A41" s="11"/>
      <c r="B41" s="25" t="s">
        <v>91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27">
        <v>7.459001</v>
      </c>
      <c r="W41" s="27">
        <v>78.049199</v>
      </c>
      <c r="X41" s="27">
        <v>99.680552</v>
      </c>
      <c r="Y41" s="27">
        <v>103.31838</v>
      </c>
      <c r="Z41" s="9">
        <v>120.111329</v>
      </c>
      <c r="AA41" s="9">
        <v>132.09206</v>
      </c>
      <c r="AB41" s="11"/>
    </row>
    <row r="42">
      <c r="A42" s="11"/>
      <c r="B42" s="2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6"/>
      <c r="AA42" s="16"/>
      <c r="AB42" s="11"/>
    </row>
    <row r="43">
      <c r="A43" s="11"/>
      <c r="B43" s="23" t="s">
        <v>92</v>
      </c>
      <c r="C43" s="16" t="str">
        <f t="shared" ref="C43:AA43" si="7">if(C39+C40+C41=0,"",C39+C40+C41)</f>
        <v/>
      </c>
      <c r="D43" s="16" t="str">
        <f t="shared" si="7"/>
        <v/>
      </c>
      <c r="E43" s="16" t="str">
        <f t="shared" si="7"/>
        <v/>
      </c>
      <c r="F43" s="16" t="str">
        <f t="shared" si="7"/>
        <v/>
      </c>
      <c r="G43" s="16" t="str">
        <f t="shared" si="7"/>
        <v/>
      </c>
      <c r="H43" s="16" t="str">
        <f t="shared" si="7"/>
        <v/>
      </c>
      <c r="I43" s="16" t="str">
        <f t="shared" si="7"/>
        <v/>
      </c>
      <c r="J43" s="16" t="str">
        <f t="shared" si="7"/>
        <v/>
      </c>
      <c r="K43" s="16" t="str">
        <f t="shared" si="7"/>
        <v/>
      </c>
      <c r="L43" s="16">
        <f t="shared" si="7"/>
        <v>478.990918</v>
      </c>
      <c r="M43" s="16">
        <f t="shared" si="7"/>
        <v>449.797774</v>
      </c>
      <c r="N43" s="16">
        <f t="shared" si="7"/>
        <v>419.254566</v>
      </c>
      <c r="O43" s="16">
        <f t="shared" si="7"/>
        <v>373.625429</v>
      </c>
      <c r="P43" s="16">
        <f t="shared" si="7"/>
        <v>356.549267</v>
      </c>
      <c r="Q43" s="16">
        <f t="shared" si="7"/>
        <v>336.052259</v>
      </c>
      <c r="R43" s="16">
        <f t="shared" si="7"/>
        <v>320.093953</v>
      </c>
      <c r="S43" s="16">
        <f t="shared" si="7"/>
        <v>323.250562</v>
      </c>
      <c r="T43" s="16">
        <f t="shared" si="7"/>
        <v>316.900345</v>
      </c>
      <c r="U43" s="16">
        <f t="shared" si="7"/>
        <v>332.425957</v>
      </c>
      <c r="V43" s="16">
        <f t="shared" si="7"/>
        <v>364.145778</v>
      </c>
      <c r="W43" s="16">
        <f t="shared" si="7"/>
        <v>405.219006</v>
      </c>
      <c r="X43" s="16">
        <f t="shared" si="7"/>
        <v>274.711225</v>
      </c>
      <c r="Y43" s="16">
        <f t="shared" si="7"/>
        <v>397.099107</v>
      </c>
      <c r="Z43" s="16">
        <f t="shared" si="7"/>
        <v>409.273892</v>
      </c>
      <c r="AA43" s="16">
        <f t="shared" si="7"/>
        <v>400.847051</v>
      </c>
      <c r="AB43" s="11"/>
    </row>
    <row r="44">
      <c r="A44" s="11"/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25" t="s">
        <v>93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27">
        <v>414.88173</v>
      </c>
      <c r="O45" s="27">
        <v>381.096236</v>
      </c>
      <c r="P45" s="27">
        <v>376.053859</v>
      </c>
      <c r="Q45" s="27">
        <v>329.35523</v>
      </c>
      <c r="R45" s="27">
        <v>307.711765</v>
      </c>
      <c r="S45" s="27">
        <v>285.326966</v>
      </c>
      <c r="T45" s="27">
        <v>271.56404</v>
      </c>
      <c r="U45" s="27">
        <v>273.646598</v>
      </c>
      <c r="V45" s="27">
        <v>272.265778</v>
      </c>
      <c r="W45" s="27">
        <v>274.197219</v>
      </c>
      <c r="X45" s="27">
        <v>305.2</v>
      </c>
      <c r="Y45" s="27">
        <v>269.049424</v>
      </c>
      <c r="Z45" s="27">
        <v>342.25131</v>
      </c>
      <c r="AA45" s="27">
        <v>325.923808</v>
      </c>
      <c r="AB45" s="11"/>
    </row>
    <row r="46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2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2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2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2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2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2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2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2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2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2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2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2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2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2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2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2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2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2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2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2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2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2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2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2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2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2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2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2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2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2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2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2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2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2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2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2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2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2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2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2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2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2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2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2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2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2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2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2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2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2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2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2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2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2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2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2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2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2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2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2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2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2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2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2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2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2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2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2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2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2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2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2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2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2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2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2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2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2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2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2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2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2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2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2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2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2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2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2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2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2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2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2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2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2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2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2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2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2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2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2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2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2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2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2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2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2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2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2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2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2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2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2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2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2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2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2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2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2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2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2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2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2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2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2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2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2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2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2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2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2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2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2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2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2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2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2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2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2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2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2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2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2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2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2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2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2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2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2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2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2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2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2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2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2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2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2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2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2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2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2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2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2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2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2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2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2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2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2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2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2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2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2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2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2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2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2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2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2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2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2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2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2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2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2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2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2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2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2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2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2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2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2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2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2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2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2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2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2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2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2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2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2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2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2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2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2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2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2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2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2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2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2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2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2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2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2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2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2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2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2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2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2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2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2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2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2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2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2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2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2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2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2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2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2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2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2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2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2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2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2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2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2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2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2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2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2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2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2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2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2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2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2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2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2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2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2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2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2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2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2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2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2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2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2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2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2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2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2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2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2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2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2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2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2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2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2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2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2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2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2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2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2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2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2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2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2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2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2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2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2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2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2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2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2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2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2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2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2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2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2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2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2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2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2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2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2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2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2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2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2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2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2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2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2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2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2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2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2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2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2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2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2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2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2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2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2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2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2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2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2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2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2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2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2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2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2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2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2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2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2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2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2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2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2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2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2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2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2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2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2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2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2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2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2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2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2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2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2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2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2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2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2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2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2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2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2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2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2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2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2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2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2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2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2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2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2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2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2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2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2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2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2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2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2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2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2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2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2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2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2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2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2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2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2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2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2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2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2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2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2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2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2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2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2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2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2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2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2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2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2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2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2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2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2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2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2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2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2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2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2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2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2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2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2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2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2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2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2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2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2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2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2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2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2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2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2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2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2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2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2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2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2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2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2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2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2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2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2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2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2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2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2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2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2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2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2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2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2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2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2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2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2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2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2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2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2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2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2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2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2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2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2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2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2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2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2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2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2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2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2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2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2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2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2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2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2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2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2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2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2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2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2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2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2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2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2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2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2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2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2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2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2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2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2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2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2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2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2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2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2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2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2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2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2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2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2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2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2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2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2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2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2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2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2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2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2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2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2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2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2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2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2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2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2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2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2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2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2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2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2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2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2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2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2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2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2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2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2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2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2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2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2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2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2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2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2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2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2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2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2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2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2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2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2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2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2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2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2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2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2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2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2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2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2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2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2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2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2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2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2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2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2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2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2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2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2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2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2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2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2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2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2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2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2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2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2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2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2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2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2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2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2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2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2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2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2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2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2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2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2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2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2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2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2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2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2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2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2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2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2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2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2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2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2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2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2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2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2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2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2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2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2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2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2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2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2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2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2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2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2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2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2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2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2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2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2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2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2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2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2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2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2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2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2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2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2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2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2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2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2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2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2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2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2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2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2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2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2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2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2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2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2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2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2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2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2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2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2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2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2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2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2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2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2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2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2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2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2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2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2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2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2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2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2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2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2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2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2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2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2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2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2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2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2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2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2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2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2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2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2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2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2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2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2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2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2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2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2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2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2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2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2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2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2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2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2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2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2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2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2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2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2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2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2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2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2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2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2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2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2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2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2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2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2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2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2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2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2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2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2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2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2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2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2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2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2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2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2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2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2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2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2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2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2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2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2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2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2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2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2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2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2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2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2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2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2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2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2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2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2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2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2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2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2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2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2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2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2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2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2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2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2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2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2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2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2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2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2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2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2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2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2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2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2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2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2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2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2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2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2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2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2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2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2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2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2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2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2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2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2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2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2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2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2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2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2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2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2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2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2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2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2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2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2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2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2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2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2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2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2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2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2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2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2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2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2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2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2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2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2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2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2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2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2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2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2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2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2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2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2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2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2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2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2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2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2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2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2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2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2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2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2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2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2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2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2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2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2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2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2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2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2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2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2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2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2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2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2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2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2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2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2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2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2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2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2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2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2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2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2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1"/>
      <c r="B1004" s="12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1"/>
      <c r="B1005" s="12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1"/>
      <c r="B1006" s="12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11"/>
      <c r="B1007" s="12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>
      <c r="A1008" s="11"/>
      <c r="B1008" s="12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>
      <c r="A1009" s="11"/>
      <c r="B1009" s="12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>
      <c r="A1010" s="11"/>
      <c r="B1010" s="12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9.0"/>
    <col customWidth="1" min="3" max="3" width="15.63"/>
    <col customWidth="1" min="4" max="4" width="15.75"/>
    <col customWidth="1" min="5" max="5" width="7.63"/>
    <col customWidth="1" min="6" max="6" width="15.75"/>
    <col customWidth="1" min="7" max="7" width="7.5"/>
    <col customWidth="1" min="8" max="8" width="15.75"/>
    <col customWidth="1" min="9" max="9" width="7.88"/>
    <col customWidth="1" min="10" max="10" width="13.75"/>
    <col customWidth="1" min="11" max="11" width="7.0"/>
    <col customWidth="1" min="12" max="12" width="15.75"/>
    <col customWidth="1" min="13" max="13" width="8.0"/>
    <col customWidth="1" min="14" max="14" width="15.75"/>
    <col customWidth="1" min="15" max="15" width="7.63"/>
    <col customWidth="1" min="16" max="34" width="15.75"/>
  </cols>
  <sheetData>
    <row r="1">
      <c r="A1" s="40" t="s">
        <v>94</v>
      </c>
      <c r="B1" s="40" t="s">
        <v>95</v>
      </c>
      <c r="C1" s="40" t="s">
        <v>96</v>
      </c>
      <c r="D1" s="40" t="s">
        <v>97</v>
      </c>
      <c r="E1" s="40"/>
      <c r="F1" s="40" t="s">
        <v>98</v>
      </c>
      <c r="G1" s="40"/>
      <c r="H1" s="40" t="s">
        <v>99</v>
      </c>
      <c r="I1" s="40"/>
      <c r="J1" s="40" t="s">
        <v>100</v>
      </c>
      <c r="K1" s="40"/>
      <c r="L1" s="40" t="s">
        <v>101</v>
      </c>
      <c r="M1" s="40"/>
      <c r="N1" s="40" t="s">
        <v>102</v>
      </c>
      <c r="O1" s="40"/>
      <c r="P1" s="40" t="s">
        <v>103</v>
      </c>
      <c r="Q1" s="40" t="s">
        <v>104</v>
      </c>
      <c r="R1" s="40" t="s">
        <v>79</v>
      </c>
      <c r="S1" s="40" t="s">
        <v>105</v>
      </c>
      <c r="T1" s="40" t="s">
        <v>106</v>
      </c>
      <c r="U1" s="40" t="s">
        <v>107</v>
      </c>
      <c r="V1" s="40" t="s">
        <v>108</v>
      </c>
      <c r="W1" s="40" t="s">
        <v>109</v>
      </c>
      <c r="X1" s="40" t="s">
        <v>110</v>
      </c>
      <c r="Y1" s="40" t="s">
        <v>111</v>
      </c>
      <c r="Z1" s="40" t="s">
        <v>112</v>
      </c>
      <c r="AA1" s="40" t="s">
        <v>113</v>
      </c>
      <c r="AB1" s="6"/>
      <c r="AC1" s="41"/>
      <c r="AD1" s="41"/>
      <c r="AE1" s="41"/>
      <c r="AF1" s="41"/>
      <c r="AG1" s="41"/>
      <c r="AH1" s="41"/>
    </row>
    <row r="2">
      <c r="A2" s="42">
        <v>2013.0</v>
      </c>
      <c r="B2" s="42" t="s">
        <v>114</v>
      </c>
      <c r="C2" s="42" t="s">
        <v>115</v>
      </c>
      <c r="D2" s="42">
        <v>3.3217743E7</v>
      </c>
      <c r="E2" s="43">
        <f t="shared" ref="E2:E118" si="1">D2/(D2+H2+J2+L2+N2)</f>
        <v>0.3349374925</v>
      </c>
      <c r="F2" s="42">
        <v>1.6904793E7</v>
      </c>
      <c r="G2" s="43">
        <f t="shared" ref="G2:G118" si="2">F2/(D2+F2+H2+J2+L2+N2)</f>
        <v>0.1456296109</v>
      </c>
      <c r="H2" s="42">
        <v>2.3832371E7</v>
      </c>
      <c r="I2" s="43">
        <f t="shared" ref="I2:I118" si="3">H2/(D2+F2+J2+L2+N2)</f>
        <v>0.2583500528</v>
      </c>
      <c r="J2" s="42">
        <v>1.328665E7</v>
      </c>
      <c r="K2" s="43">
        <f t="shared" ref="K2:K118" si="4">J2/(D2+F2+H2+J2+L2+N2)</f>
        <v>0.1144604178</v>
      </c>
      <c r="L2" s="42">
        <v>2.2938216E7</v>
      </c>
      <c r="M2" s="44">
        <f t="shared" ref="M2:M118" si="5">L2/(D2+F2+H2+J2+L2+N2)</f>
        <v>0.197605701</v>
      </c>
      <c r="N2" s="42">
        <v>5900967.0</v>
      </c>
      <c r="O2" s="43">
        <f t="shared" ref="O2:O118" si="6">N2/(D2+F2+H2+J2+L2+N2)</f>
        <v>0.05083502224</v>
      </c>
      <c r="P2" s="45">
        <f>SUM(D2:N2)+Q2</f>
        <v>130092741.1</v>
      </c>
      <c r="Q2" s="42">
        <v>1.4012E7</v>
      </c>
      <c r="R2" s="45"/>
      <c r="S2" s="42">
        <v>5.8129001E7</v>
      </c>
      <c r="T2" s="42">
        <v>1.0098621E7</v>
      </c>
      <c r="U2" s="42">
        <v>1.1407769E7</v>
      </c>
      <c r="V2" s="42">
        <v>1.7927484E7</v>
      </c>
      <c r="W2" s="46">
        <v>3.4334787E7</v>
      </c>
      <c r="X2" s="42">
        <v>1.1009731E7</v>
      </c>
      <c r="Y2" s="42">
        <v>2874500.0</v>
      </c>
      <c r="Z2" s="42">
        <v>1.3903934E7</v>
      </c>
      <c r="AA2" s="42">
        <v>4741700.0</v>
      </c>
      <c r="AB2" s="45"/>
      <c r="AC2" s="45"/>
      <c r="AD2" s="45"/>
      <c r="AE2" s="45"/>
      <c r="AF2" s="45"/>
      <c r="AG2" s="45"/>
      <c r="AH2" s="45"/>
    </row>
    <row r="3">
      <c r="A3" s="4">
        <v>2013.0</v>
      </c>
      <c r="B3" s="4" t="s">
        <v>116</v>
      </c>
      <c r="C3" s="4" t="s">
        <v>117</v>
      </c>
      <c r="D3" s="4">
        <v>3.778629E7</v>
      </c>
      <c r="E3" s="47">
        <f t="shared" si="1"/>
        <v>0.4248003001</v>
      </c>
      <c r="F3" s="4">
        <v>9674862.0</v>
      </c>
      <c r="G3" s="47">
        <f t="shared" si="2"/>
        <v>0.09809688716</v>
      </c>
      <c r="H3" s="4">
        <v>2.1542305E7</v>
      </c>
      <c r="I3" s="47">
        <f t="shared" si="3"/>
        <v>0.2794679665</v>
      </c>
      <c r="J3" s="4">
        <v>1.0590107E7</v>
      </c>
      <c r="K3" s="47">
        <f t="shared" si="4"/>
        <v>0.1073768837</v>
      </c>
      <c r="L3" s="4">
        <v>1.44764E7</v>
      </c>
      <c r="M3" s="48">
        <f t="shared" si="5"/>
        <v>0.1467813988</v>
      </c>
      <c r="N3" s="4">
        <v>4555612.0</v>
      </c>
      <c r="O3" s="47">
        <f t="shared" si="6"/>
        <v>0.04619097991</v>
      </c>
      <c r="P3" s="6">
        <f t="shared" ref="P3:P7" si="7">SUM(D3:N3)</f>
        <v>98625577.06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4">
        <v>2013.0</v>
      </c>
      <c r="B4" s="4" t="s">
        <v>118</v>
      </c>
      <c r="C4" s="4" t="s">
        <v>119</v>
      </c>
      <c r="D4" s="4">
        <v>5.6697217E7</v>
      </c>
      <c r="E4" s="47">
        <f t="shared" si="1"/>
        <v>0.4378010938</v>
      </c>
      <c r="F4" s="4">
        <v>1.8721542E7</v>
      </c>
      <c r="G4" s="47">
        <f t="shared" si="2"/>
        <v>0.1263039897</v>
      </c>
      <c r="H4" s="4">
        <v>3.0090248E7</v>
      </c>
      <c r="I4" s="47">
        <f t="shared" si="3"/>
        <v>0.2547089576</v>
      </c>
      <c r="J4" s="4">
        <v>1.2408056E7</v>
      </c>
      <c r="K4" s="47">
        <f t="shared" si="4"/>
        <v>0.08371035769</v>
      </c>
      <c r="L4" s="4">
        <v>2.5299785E7</v>
      </c>
      <c r="M4" s="48">
        <f t="shared" si="5"/>
        <v>0.1706837922</v>
      </c>
      <c r="N4" s="4">
        <v>5009206.0</v>
      </c>
      <c r="O4" s="47">
        <f t="shared" si="6"/>
        <v>0.03379436924</v>
      </c>
      <c r="P4" s="6">
        <f t="shared" si="7"/>
        <v>148226055.1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4">
        <v>2013.0</v>
      </c>
      <c r="B5" s="4" t="s">
        <v>120</v>
      </c>
      <c r="C5" s="4" t="s">
        <v>121</v>
      </c>
      <c r="D5" s="4">
        <v>1695500.0</v>
      </c>
      <c r="E5" s="47">
        <f t="shared" si="1"/>
        <v>0.4249314859</v>
      </c>
      <c r="F5" s="4">
        <v>471569.0</v>
      </c>
      <c r="G5" s="47">
        <f t="shared" si="2"/>
        <v>0.1056944736</v>
      </c>
      <c r="H5" s="4">
        <v>906958.0</v>
      </c>
      <c r="I5" s="47">
        <f t="shared" si="3"/>
        <v>0.2551457718</v>
      </c>
      <c r="J5" s="4">
        <v>423984.0</v>
      </c>
      <c r="K5" s="47">
        <f t="shared" si="4"/>
        <v>0.09502907461</v>
      </c>
      <c r="L5" s="4">
        <v>855890.0</v>
      </c>
      <c r="M5" s="48">
        <f t="shared" si="5"/>
        <v>0.1918337359</v>
      </c>
      <c r="N5" s="4">
        <v>107723.0</v>
      </c>
      <c r="O5" s="47">
        <f t="shared" si="6"/>
        <v>0.02414434744</v>
      </c>
      <c r="P5" s="6">
        <f t="shared" si="7"/>
        <v>4461625.073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4">
        <v>2013.0</v>
      </c>
      <c r="B6" s="4" t="s">
        <v>122</v>
      </c>
      <c r="C6" s="4" t="s">
        <v>123</v>
      </c>
      <c r="D6" s="4">
        <v>3.5547603E7</v>
      </c>
      <c r="E6" s="47">
        <f t="shared" si="1"/>
        <v>0.4050950352</v>
      </c>
      <c r="F6" s="4">
        <v>5728975.0</v>
      </c>
      <c r="G6" s="47">
        <f t="shared" si="2"/>
        <v>0.0612854098</v>
      </c>
      <c r="H6" s="4">
        <v>1.7407418E7</v>
      </c>
      <c r="I6" s="47">
        <f t="shared" si="3"/>
        <v>0.2288257075</v>
      </c>
      <c r="J6" s="4">
        <v>8709996.0</v>
      </c>
      <c r="K6" s="47">
        <f t="shared" si="4"/>
        <v>0.0931747257</v>
      </c>
      <c r="L6" s="4">
        <v>2.2977976E7</v>
      </c>
      <c r="M6" s="48">
        <f t="shared" si="5"/>
        <v>0.2458056939</v>
      </c>
      <c r="N6" s="4">
        <v>3108275.0</v>
      </c>
      <c r="O6" s="47">
        <f t="shared" si="6"/>
        <v>0.0332506089</v>
      </c>
      <c r="P6" s="6">
        <f t="shared" si="7"/>
        <v>93480244.03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4">
        <v>2013.0</v>
      </c>
      <c r="B7" s="4" t="s">
        <v>124</v>
      </c>
      <c r="C7" s="4" t="s">
        <v>125</v>
      </c>
      <c r="D7" s="4">
        <v>1.3701626E7</v>
      </c>
      <c r="E7" s="47">
        <f t="shared" si="1"/>
        <v>0.4396201555</v>
      </c>
      <c r="F7" s="4">
        <v>1774790.0</v>
      </c>
      <c r="G7" s="47">
        <f t="shared" si="2"/>
        <v>0.05387660736</v>
      </c>
      <c r="H7" s="4">
        <v>4744389.0</v>
      </c>
      <c r="I7" s="47">
        <f t="shared" si="3"/>
        <v>0.1682564606</v>
      </c>
      <c r="J7" s="4">
        <v>4066692.0</v>
      </c>
      <c r="K7" s="47">
        <f t="shared" si="4"/>
        <v>0.1234509819</v>
      </c>
      <c r="L7" s="4">
        <v>6846983.0</v>
      </c>
      <c r="M7" s="48">
        <f t="shared" si="5"/>
        <v>0.2078511907</v>
      </c>
      <c r="N7" s="4">
        <v>1807275.0</v>
      </c>
      <c r="O7" s="47">
        <f t="shared" si="6"/>
        <v>0.05486274183</v>
      </c>
      <c r="P7" s="6">
        <f t="shared" si="7"/>
        <v>32941755.99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49">
        <v>2013.0</v>
      </c>
      <c r="B8" s="49" t="s">
        <v>126</v>
      </c>
      <c r="C8" s="49" t="s">
        <v>127</v>
      </c>
      <c r="D8" s="50">
        <f>SUM(D3:D7)</f>
        <v>145428236</v>
      </c>
      <c r="E8" s="51">
        <f t="shared" si="1"/>
        <v>0.4260216164</v>
      </c>
      <c r="F8" s="50">
        <f>SUM(F3:F7)</f>
        <v>36371738</v>
      </c>
      <c r="G8" s="51">
        <f t="shared" si="2"/>
        <v>0.09628896908</v>
      </c>
      <c r="H8" s="50">
        <f>SUM(H3:H7)</f>
        <v>74691318</v>
      </c>
      <c r="I8" s="51">
        <f t="shared" si="3"/>
        <v>0.2464702626</v>
      </c>
      <c r="J8" s="50">
        <f>SUM(J3:J7)</f>
        <v>36198835</v>
      </c>
      <c r="K8" s="51">
        <f t="shared" si="4"/>
        <v>0.09583123314</v>
      </c>
      <c r="L8" s="50">
        <f>SUM(L3:L7)</f>
        <v>70457034</v>
      </c>
      <c r="M8" s="52">
        <f t="shared" si="5"/>
        <v>0.1865249103</v>
      </c>
      <c r="N8" s="50">
        <f>SUM(N3:N7)</f>
        <v>14588091</v>
      </c>
      <c r="O8" s="51">
        <f t="shared" si="6"/>
        <v>0.03861988237</v>
      </c>
      <c r="P8" s="53">
        <f>SUM(P3:P7)</f>
        <v>377735257.2</v>
      </c>
      <c r="Q8" s="54"/>
      <c r="R8" s="55">
        <f>Total!P29*1000000</f>
        <v>533591829</v>
      </c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>
      <c r="A9" s="56">
        <v>2013.0</v>
      </c>
      <c r="B9" s="56" t="s">
        <v>128</v>
      </c>
      <c r="C9" s="56" t="s">
        <v>129</v>
      </c>
      <c r="D9" s="56">
        <v>968.0</v>
      </c>
      <c r="E9" s="57">
        <f t="shared" si="1"/>
        <v>0.4145610278</v>
      </c>
      <c r="F9" s="56">
        <v>315.0</v>
      </c>
      <c r="G9" s="57">
        <f t="shared" si="2"/>
        <v>0.1188679245</v>
      </c>
      <c r="H9" s="56">
        <v>492.0</v>
      </c>
      <c r="I9" s="57">
        <f t="shared" si="3"/>
        <v>0.2279888786</v>
      </c>
      <c r="J9" s="56">
        <v>272.0</v>
      </c>
      <c r="K9" s="57">
        <f t="shared" si="4"/>
        <v>0.1026415094</v>
      </c>
      <c r="L9" s="56">
        <v>440.0</v>
      </c>
      <c r="M9" s="58">
        <f t="shared" si="5"/>
        <v>0.1660377358</v>
      </c>
      <c r="N9" s="56">
        <v>163.0</v>
      </c>
      <c r="O9" s="57">
        <f t="shared" si="6"/>
        <v>0.06150943396</v>
      </c>
      <c r="P9" s="59">
        <f t="shared" ref="P9:P10" si="8">SUM(D9:N9)</f>
        <v>2651.030097</v>
      </c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</row>
    <row r="10">
      <c r="A10" s="60">
        <v>2013.0</v>
      </c>
      <c r="B10" s="60" t="s">
        <v>130</v>
      </c>
      <c r="C10" s="60" t="s">
        <v>131</v>
      </c>
      <c r="D10" s="60">
        <v>734356.0</v>
      </c>
      <c r="E10" s="61">
        <f t="shared" si="1"/>
        <v>0.416139991</v>
      </c>
      <c r="F10" s="60">
        <v>291395.0</v>
      </c>
      <c r="G10" s="61">
        <f t="shared" si="2"/>
        <v>0.1417235711</v>
      </c>
      <c r="H10" s="60">
        <v>321732.0</v>
      </c>
      <c r="I10" s="61">
        <f t="shared" si="3"/>
        <v>0.185506023</v>
      </c>
      <c r="J10" s="60">
        <v>174554.0</v>
      </c>
      <c r="K10" s="61">
        <f t="shared" si="4"/>
        <v>0.08489650208</v>
      </c>
      <c r="L10" s="60">
        <v>463101.0</v>
      </c>
      <c r="M10" s="62">
        <f t="shared" si="5"/>
        <v>0.225234913</v>
      </c>
      <c r="N10" s="60">
        <v>70942.0</v>
      </c>
      <c r="O10" s="61">
        <f t="shared" si="6"/>
        <v>0.03450352126</v>
      </c>
      <c r="P10" s="63">
        <f t="shared" si="8"/>
        <v>2056081.054</v>
      </c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</row>
    <row r="11">
      <c r="A11" s="42">
        <v>2014.0</v>
      </c>
      <c r="B11" s="42" t="s">
        <v>114</v>
      </c>
      <c r="C11" s="42" t="s">
        <v>115</v>
      </c>
      <c r="D11" s="42">
        <v>3.6880059E7</v>
      </c>
      <c r="E11" s="43">
        <f t="shared" si="1"/>
        <v>0.3424337018</v>
      </c>
      <c r="F11" s="42">
        <v>1.467224E7</v>
      </c>
      <c r="G11" s="43">
        <f t="shared" si="2"/>
        <v>0.1198985795</v>
      </c>
      <c r="H11" s="42">
        <v>2.6149635E7</v>
      </c>
      <c r="I11" s="43">
        <f t="shared" si="3"/>
        <v>0.2717622873</v>
      </c>
      <c r="J11" s="42">
        <v>1.35498E7</v>
      </c>
      <c r="K11" s="43">
        <f t="shared" si="4"/>
        <v>0.1107262267</v>
      </c>
      <c r="L11" s="42">
        <v>2.5764723E7</v>
      </c>
      <c r="M11" s="44">
        <f t="shared" si="5"/>
        <v>0.2105441084</v>
      </c>
      <c r="N11" s="42">
        <v>5355635.0</v>
      </c>
      <c r="O11" s="43">
        <f t="shared" si="6"/>
        <v>0.04376516665</v>
      </c>
      <c r="P11" s="45">
        <f>SUM(D11:N11)+Q11</f>
        <v>138226743.1</v>
      </c>
      <c r="Q11" s="42">
        <v>1.585465E7</v>
      </c>
      <c r="R11" s="45"/>
      <c r="S11" s="42">
        <v>6.2505562E7</v>
      </c>
      <c r="T11" s="42">
        <v>8559152.0</v>
      </c>
      <c r="U11" s="42">
        <v>1.2703848E7</v>
      </c>
      <c r="V11" s="42">
        <v>1.689295E7</v>
      </c>
      <c r="W11" s="45"/>
      <c r="X11" s="42">
        <v>1.1969835E7</v>
      </c>
      <c r="Y11" s="42">
        <v>2972500.0</v>
      </c>
      <c r="Z11" s="42">
        <v>1.4433704E7</v>
      </c>
      <c r="AA11" s="42">
        <v>8189191.0</v>
      </c>
      <c r="AB11" s="45"/>
      <c r="AC11" s="45"/>
      <c r="AD11" s="45"/>
      <c r="AE11" s="45"/>
      <c r="AF11" s="45"/>
      <c r="AG11" s="45"/>
      <c r="AH11" s="45"/>
    </row>
    <row r="12">
      <c r="A12" s="4">
        <v>2014.0</v>
      </c>
      <c r="B12" s="4" t="s">
        <v>116</v>
      </c>
      <c r="C12" s="4" t="s">
        <v>117</v>
      </c>
      <c r="D12" s="4">
        <v>3.9695036E7</v>
      </c>
      <c r="E12" s="47">
        <f t="shared" si="1"/>
        <v>0.4315355947</v>
      </c>
      <c r="F12" s="4">
        <v>1.0245764E7</v>
      </c>
      <c r="G12" s="47">
        <f t="shared" si="2"/>
        <v>0.100221393</v>
      </c>
      <c r="H12" s="4">
        <v>2.2159564E7</v>
      </c>
      <c r="I12" s="47">
        <f t="shared" si="3"/>
        <v>0.2767463673</v>
      </c>
      <c r="J12" s="4">
        <v>1.0613518E7</v>
      </c>
      <c r="K12" s="47">
        <f t="shared" si="4"/>
        <v>0.1038186668</v>
      </c>
      <c r="L12" s="4">
        <v>1.4999555E7</v>
      </c>
      <c r="M12" s="48">
        <f t="shared" si="5"/>
        <v>0.1467217376</v>
      </c>
      <c r="N12" s="4">
        <v>4517870.0</v>
      </c>
      <c r="O12" s="47">
        <f t="shared" si="6"/>
        <v>0.04419262682</v>
      </c>
      <c r="P12" s="6">
        <f t="shared" ref="P12:P16" si="9">SUM(D12:N12)</f>
        <v>102231308.1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4">
        <v>2014.0</v>
      </c>
      <c r="B13" s="4" t="s">
        <v>118</v>
      </c>
      <c r="C13" s="4" t="s">
        <v>119</v>
      </c>
      <c r="D13" s="4">
        <v>5.8895648E7</v>
      </c>
      <c r="E13" s="47">
        <f t="shared" si="1"/>
        <v>0.4329496469</v>
      </c>
      <c r="F13" s="4">
        <v>1.9906298E7</v>
      </c>
      <c r="G13" s="47">
        <f t="shared" si="2"/>
        <v>0.127653752</v>
      </c>
      <c r="H13" s="4">
        <v>3.1719247E7</v>
      </c>
      <c r="I13" s="47">
        <f t="shared" si="3"/>
        <v>0.2553462478</v>
      </c>
      <c r="J13" s="4">
        <v>1.2468092E7</v>
      </c>
      <c r="K13" s="47">
        <f t="shared" si="4"/>
        <v>0.07995453117</v>
      </c>
      <c r="L13" s="4">
        <v>2.7807385E7</v>
      </c>
      <c r="M13" s="48">
        <f t="shared" si="5"/>
        <v>0.1783213045</v>
      </c>
      <c r="N13" s="4">
        <v>5143110.0</v>
      </c>
      <c r="O13" s="47">
        <f t="shared" si="6"/>
        <v>0.03298138551</v>
      </c>
      <c r="P13" s="6">
        <f t="shared" si="9"/>
        <v>155939781.1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>
      <c r="A14" s="4">
        <v>2014.0</v>
      </c>
      <c r="B14" s="4" t="s">
        <v>120</v>
      </c>
      <c r="C14" s="4" t="s">
        <v>121</v>
      </c>
      <c r="D14" s="4">
        <v>2012567.0</v>
      </c>
      <c r="E14" s="47">
        <f t="shared" si="1"/>
        <v>0.3860970922</v>
      </c>
      <c r="F14" s="4">
        <v>522809.0</v>
      </c>
      <c r="G14" s="47">
        <f t="shared" si="2"/>
        <v>0.09115472638</v>
      </c>
      <c r="H14" s="4">
        <v>1032313.0</v>
      </c>
      <c r="I14" s="47">
        <f t="shared" si="3"/>
        <v>0.2194968031</v>
      </c>
      <c r="J14" s="4">
        <v>584241.0</v>
      </c>
      <c r="K14" s="47">
        <f t="shared" si="4"/>
        <v>0.1018657454</v>
      </c>
      <c r="L14" s="4">
        <v>1474613.0</v>
      </c>
      <c r="M14" s="48">
        <f t="shared" si="5"/>
        <v>0.257107174</v>
      </c>
      <c r="N14" s="4">
        <v>108859.0</v>
      </c>
      <c r="O14" s="47">
        <f t="shared" si="6"/>
        <v>0.01898018657</v>
      </c>
      <c r="P14" s="6">
        <f t="shared" si="9"/>
        <v>5735403.056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4">
        <v>2014.0</v>
      </c>
      <c r="B15" s="4" t="s">
        <v>122</v>
      </c>
      <c r="C15" s="4" t="s">
        <v>123</v>
      </c>
      <c r="D15" s="4">
        <v>3.4956508E7</v>
      </c>
      <c r="E15" s="47">
        <f t="shared" si="1"/>
        <v>0.4157377846</v>
      </c>
      <c r="F15" s="4">
        <v>6107242.0</v>
      </c>
      <c r="G15" s="47">
        <f t="shared" si="2"/>
        <v>0.06771505794</v>
      </c>
      <c r="H15" s="4">
        <v>1.6137593E7</v>
      </c>
      <c r="I15" s="47">
        <f t="shared" si="3"/>
        <v>0.2179203393</v>
      </c>
      <c r="J15" s="4">
        <v>8472548.0</v>
      </c>
      <c r="K15" s="47">
        <f t="shared" si="4"/>
        <v>0.09394078027</v>
      </c>
      <c r="L15" s="4">
        <v>2.1510247E7</v>
      </c>
      <c r="M15" s="48">
        <f t="shared" si="5"/>
        <v>0.2384984289</v>
      </c>
      <c r="N15" s="4">
        <v>3006171.0</v>
      </c>
      <c r="O15" s="47">
        <f t="shared" si="6"/>
        <v>0.03333141923</v>
      </c>
      <c r="P15" s="6">
        <f t="shared" si="9"/>
        <v>90190310.03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4">
        <v>2014.0</v>
      </c>
      <c r="B16" s="4" t="s">
        <v>124</v>
      </c>
      <c r="C16" s="4" t="s">
        <v>125</v>
      </c>
      <c r="D16" s="4">
        <v>1.3642064E7</v>
      </c>
      <c r="E16" s="47">
        <f t="shared" si="1"/>
        <v>0.430827839</v>
      </c>
      <c r="F16" s="4">
        <v>1880398.0</v>
      </c>
      <c r="G16" s="47">
        <f t="shared" si="2"/>
        <v>0.05605570543</v>
      </c>
      <c r="H16" s="4">
        <v>4199916.0</v>
      </c>
      <c r="I16" s="47">
        <f t="shared" si="3"/>
        <v>0.1431208068</v>
      </c>
      <c r="J16" s="4">
        <v>3761548.0</v>
      </c>
      <c r="K16" s="47">
        <f t="shared" si="4"/>
        <v>0.1121338284</v>
      </c>
      <c r="L16" s="4">
        <v>8267234.0</v>
      </c>
      <c r="M16" s="48">
        <f t="shared" si="5"/>
        <v>0.2464508226</v>
      </c>
      <c r="N16" s="4">
        <v>1794007.0</v>
      </c>
      <c r="O16" s="47">
        <f t="shared" si="6"/>
        <v>0.05348034189</v>
      </c>
      <c r="P16" s="6">
        <f t="shared" si="9"/>
        <v>33545167.99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49">
        <v>2014.0</v>
      </c>
      <c r="B17" s="49" t="s">
        <v>126</v>
      </c>
      <c r="C17" s="49" t="s">
        <v>127</v>
      </c>
      <c r="D17" s="50">
        <f>SUM(D12:D16)</f>
        <v>149201823</v>
      </c>
      <c r="E17" s="51">
        <f t="shared" si="1"/>
        <v>0.4275375564</v>
      </c>
      <c r="F17" s="50">
        <f>SUM(F12:F16)</f>
        <v>38662511</v>
      </c>
      <c r="G17" s="51">
        <f t="shared" si="2"/>
        <v>0.09973768191</v>
      </c>
      <c r="H17" s="50">
        <f>SUM(H12:H16)</f>
        <v>75248633</v>
      </c>
      <c r="I17" s="51">
        <f t="shared" si="3"/>
        <v>0.2408778463</v>
      </c>
      <c r="J17" s="50">
        <f>SUM(J12:J16)</f>
        <v>35899947</v>
      </c>
      <c r="K17" s="51">
        <f t="shared" si="4"/>
        <v>0.0926110954</v>
      </c>
      <c r="L17" s="50">
        <f>SUM(L12:L16)</f>
        <v>74059034</v>
      </c>
      <c r="M17" s="52">
        <f t="shared" si="5"/>
        <v>0.1910500944</v>
      </c>
      <c r="N17" s="50">
        <f>SUM(N12:N16)</f>
        <v>14570017</v>
      </c>
      <c r="O17" s="51">
        <f t="shared" si="6"/>
        <v>0.03758627372</v>
      </c>
      <c r="P17" s="53">
        <f>SUM(P12:P16)</f>
        <v>387641970.2</v>
      </c>
      <c r="Q17" s="54"/>
      <c r="R17" s="55">
        <f>Total!Q29*1000000</f>
        <v>568331094</v>
      </c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</row>
    <row r="18">
      <c r="A18" s="56">
        <v>2014.0</v>
      </c>
      <c r="B18" s="56" t="s">
        <v>128</v>
      </c>
      <c r="C18" s="56" t="s">
        <v>129</v>
      </c>
      <c r="D18" s="56">
        <v>983.0</v>
      </c>
      <c r="E18" s="57">
        <f t="shared" si="1"/>
        <v>0.4197267293</v>
      </c>
      <c r="F18" s="56">
        <v>308.0</v>
      </c>
      <c r="G18" s="57">
        <f t="shared" si="2"/>
        <v>0.1162264151</v>
      </c>
      <c r="H18" s="56">
        <v>504.0</v>
      </c>
      <c r="I18" s="57">
        <f t="shared" si="3"/>
        <v>0.2348555452</v>
      </c>
      <c r="J18" s="56">
        <v>265.0</v>
      </c>
      <c r="K18" s="57">
        <f t="shared" si="4"/>
        <v>0.1</v>
      </c>
      <c r="L18" s="56">
        <v>433.0</v>
      </c>
      <c r="M18" s="58">
        <f t="shared" si="5"/>
        <v>0.1633962264</v>
      </c>
      <c r="N18" s="56">
        <v>157.0</v>
      </c>
      <c r="O18" s="57">
        <f t="shared" si="6"/>
        <v>0.05924528302</v>
      </c>
      <c r="P18" s="59">
        <f t="shared" ref="P18:P19" si="10">SUM(D18:N18)</f>
        <v>2651.034205</v>
      </c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</row>
    <row r="19">
      <c r="A19" s="60">
        <v>2014.0</v>
      </c>
      <c r="B19" s="60" t="s">
        <v>130</v>
      </c>
      <c r="C19" s="60" t="s">
        <v>131</v>
      </c>
      <c r="D19" s="60">
        <v>749373.0</v>
      </c>
      <c r="E19" s="61">
        <f t="shared" si="1"/>
        <v>0.4177207146</v>
      </c>
      <c r="F19" s="60">
        <v>297622.0</v>
      </c>
      <c r="G19" s="61">
        <f t="shared" si="2"/>
        <v>0.1422953663</v>
      </c>
      <c r="H19" s="60">
        <v>327011.0</v>
      </c>
      <c r="I19" s="61">
        <f t="shared" si="3"/>
        <v>0.1853207131</v>
      </c>
      <c r="J19" s="60">
        <v>176402.0</v>
      </c>
      <c r="K19" s="61">
        <f t="shared" si="4"/>
        <v>0.08433915238</v>
      </c>
      <c r="L19" s="60">
        <v>469433.0</v>
      </c>
      <c r="M19" s="62">
        <f t="shared" si="5"/>
        <v>0.2244395263</v>
      </c>
      <c r="N19" s="60">
        <v>71738.0</v>
      </c>
      <c r="O19" s="61">
        <f t="shared" si="6"/>
        <v>0.03429848932</v>
      </c>
      <c r="P19" s="63">
        <f t="shared" si="10"/>
        <v>2091580.054</v>
      </c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</row>
    <row r="20">
      <c r="A20" s="42">
        <v>2015.0</v>
      </c>
      <c r="B20" s="42" t="s">
        <v>114</v>
      </c>
      <c r="C20" s="42" t="s">
        <v>115</v>
      </c>
      <c r="D20" s="42">
        <v>3.4153502E7</v>
      </c>
      <c r="E20" s="43">
        <f t="shared" si="1"/>
        <v>0.3168652627</v>
      </c>
      <c r="F20" s="42">
        <v>1.4478414E7</v>
      </c>
      <c r="G20" s="43">
        <f t="shared" si="2"/>
        <v>0.1184192915</v>
      </c>
      <c r="H20" s="42">
        <v>2.325187E7</v>
      </c>
      <c r="I20" s="43">
        <f t="shared" si="3"/>
        <v>0.2348386451</v>
      </c>
      <c r="J20" s="42">
        <v>1.29545E7</v>
      </c>
      <c r="K20" s="43">
        <f t="shared" si="4"/>
        <v>0.1059551627</v>
      </c>
      <c r="L20" s="42">
        <v>3.22855E7</v>
      </c>
      <c r="M20" s="44">
        <f t="shared" si="5"/>
        <v>0.2640638701</v>
      </c>
      <c r="N20" s="42">
        <v>5140195.0</v>
      </c>
      <c r="O20" s="43">
        <f t="shared" si="6"/>
        <v>0.0420417768</v>
      </c>
      <c r="P20" s="45">
        <f>SUM(D20:N20)+Q20</f>
        <v>135392982</v>
      </c>
      <c r="Q20" s="42">
        <v>1.3129E7</v>
      </c>
      <c r="R20" s="45"/>
      <c r="S20" s="42">
        <v>6.24174E7</v>
      </c>
      <c r="T20" s="42">
        <v>1.541332E7</v>
      </c>
      <c r="U20" s="42">
        <v>1.2284385E7</v>
      </c>
      <c r="V20" s="42">
        <v>1.9371167E7</v>
      </c>
      <c r="W20" s="42">
        <v>3.4284209E7</v>
      </c>
      <c r="X20" s="42">
        <v>8615900.0</v>
      </c>
      <c r="Y20" s="42">
        <v>1782500.0</v>
      </c>
      <c r="Z20" s="42">
        <v>1.1910114E7</v>
      </c>
      <c r="AA20" s="42">
        <v>2363500.0</v>
      </c>
      <c r="AB20" s="45"/>
      <c r="AC20" s="45"/>
      <c r="AD20" s="45"/>
      <c r="AE20" s="45"/>
      <c r="AF20" s="45"/>
      <c r="AG20" s="45"/>
      <c r="AH20" s="45"/>
    </row>
    <row r="21">
      <c r="A21" s="4">
        <v>2015.0</v>
      </c>
      <c r="B21" s="4" t="s">
        <v>116</v>
      </c>
      <c r="C21" s="4" t="s">
        <v>117</v>
      </c>
      <c r="D21" s="4">
        <v>4.0763211E7</v>
      </c>
      <c r="E21" s="47">
        <f t="shared" si="1"/>
        <v>0.431364125</v>
      </c>
      <c r="F21" s="4">
        <v>1.0648139E7</v>
      </c>
      <c r="G21" s="47">
        <f t="shared" si="2"/>
        <v>0.1012695342</v>
      </c>
      <c r="H21" s="4">
        <v>2.2447054E7</v>
      </c>
      <c r="I21" s="47">
        <f t="shared" si="3"/>
        <v>0.2714292529</v>
      </c>
      <c r="J21" s="4">
        <v>1.1078348E7</v>
      </c>
      <c r="K21" s="47">
        <f t="shared" si="4"/>
        <v>0.1053610534</v>
      </c>
      <c r="L21" s="4">
        <v>1.5580462E7</v>
      </c>
      <c r="M21" s="48">
        <f t="shared" si="5"/>
        <v>0.1481785812</v>
      </c>
      <c r="N21" s="4">
        <v>4629305.0</v>
      </c>
      <c r="O21" s="47">
        <f t="shared" si="6"/>
        <v>0.04402718268</v>
      </c>
      <c r="P21" s="6">
        <f t="shared" ref="P21:P25" si="11">SUM(D21:N21)</f>
        <v>105146520.1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4">
        <v>2015.0</v>
      </c>
      <c r="B22" s="4" t="s">
        <v>118</v>
      </c>
      <c r="C22" s="4" t="s">
        <v>119</v>
      </c>
      <c r="D22" s="4">
        <v>5.3815199E7</v>
      </c>
      <c r="E22" s="47">
        <f t="shared" si="1"/>
        <v>0.4313906059</v>
      </c>
      <c r="F22" s="4">
        <v>1.852539E7</v>
      </c>
      <c r="G22" s="47">
        <f t="shared" si="2"/>
        <v>0.1293008068</v>
      </c>
      <c r="H22" s="4">
        <v>2.9101367E7</v>
      </c>
      <c r="I22" s="47">
        <f t="shared" si="3"/>
        <v>0.2548900929</v>
      </c>
      <c r="J22" s="4">
        <v>1.1488057E7</v>
      </c>
      <c r="K22" s="47">
        <f t="shared" si="4"/>
        <v>0.08018265949</v>
      </c>
      <c r="L22" s="4">
        <v>2.5335412E7</v>
      </c>
      <c r="M22" s="48">
        <f t="shared" si="5"/>
        <v>0.176832402</v>
      </c>
      <c r="N22" s="4">
        <v>5008159.0</v>
      </c>
      <c r="O22" s="47">
        <f t="shared" si="6"/>
        <v>0.03495521547</v>
      </c>
      <c r="P22" s="6">
        <f t="shared" si="11"/>
        <v>143273585.1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4">
        <v>2015.0</v>
      </c>
      <c r="B23" s="4" t="s">
        <v>120</v>
      </c>
      <c r="C23" s="4" t="s">
        <v>121</v>
      </c>
      <c r="D23" s="4">
        <v>1968012.0</v>
      </c>
      <c r="E23" s="47">
        <f t="shared" si="1"/>
        <v>0.3691092686</v>
      </c>
      <c r="F23" s="4">
        <v>755147.0</v>
      </c>
      <c r="G23" s="47">
        <f t="shared" si="2"/>
        <v>0.1240603233</v>
      </c>
      <c r="H23" s="4">
        <v>1057744.0</v>
      </c>
      <c r="I23" s="47">
        <f t="shared" si="3"/>
        <v>0.2103209463</v>
      </c>
      <c r="J23" s="4">
        <v>531674.0</v>
      </c>
      <c r="K23" s="47">
        <f t="shared" si="4"/>
        <v>0.08734676604</v>
      </c>
      <c r="L23" s="4">
        <v>1635037.0</v>
      </c>
      <c r="M23" s="48">
        <f t="shared" si="5"/>
        <v>0.2686142153</v>
      </c>
      <c r="N23" s="4">
        <v>139320.0</v>
      </c>
      <c r="O23" s="47">
        <f t="shared" si="6"/>
        <v>0.0228883704</v>
      </c>
      <c r="P23" s="6">
        <f t="shared" si="11"/>
        <v>6086935.059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>
      <c r="A24" s="4">
        <v>2015.0</v>
      </c>
      <c r="B24" s="4" t="s">
        <v>122</v>
      </c>
      <c r="C24" s="4" t="s">
        <v>123</v>
      </c>
      <c r="D24" s="4">
        <v>3.4591001E7</v>
      </c>
      <c r="E24" s="47">
        <f t="shared" si="1"/>
        <v>0.4173039869</v>
      </c>
      <c r="F24" s="4">
        <v>6007804.0</v>
      </c>
      <c r="G24" s="47">
        <f t="shared" si="2"/>
        <v>0.06757979</v>
      </c>
      <c r="H24" s="4">
        <v>1.5763731E7</v>
      </c>
      <c r="I24" s="47">
        <f t="shared" si="3"/>
        <v>0.2155408891</v>
      </c>
      <c r="J24" s="4">
        <v>8277465.0</v>
      </c>
      <c r="K24" s="47">
        <f t="shared" si="4"/>
        <v>0.09311045208</v>
      </c>
      <c r="L24" s="4">
        <v>2.1224516E7</v>
      </c>
      <c r="M24" s="48">
        <f t="shared" si="5"/>
        <v>0.2387475248</v>
      </c>
      <c r="N24" s="4">
        <v>3034901.0</v>
      </c>
      <c r="O24" s="47">
        <f t="shared" si="6"/>
        <v>0.03413859245</v>
      </c>
      <c r="P24" s="6">
        <f t="shared" si="11"/>
        <v>88899419.03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>
      <c r="A25" s="4">
        <v>2015.0</v>
      </c>
      <c r="B25" s="4" t="s">
        <v>124</v>
      </c>
      <c r="C25" s="4" t="s">
        <v>125</v>
      </c>
      <c r="D25" s="4">
        <v>1.3168548E7</v>
      </c>
      <c r="E25" s="47">
        <f t="shared" si="1"/>
        <v>0.4182979704</v>
      </c>
      <c r="F25" s="4">
        <v>1934921.0</v>
      </c>
      <c r="G25" s="47">
        <f t="shared" si="2"/>
        <v>0.05790371091</v>
      </c>
      <c r="H25" s="4">
        <v>4066547.0</v>
      </c>
      <c r="I25" s="47">
        <f t="shared" si="3"/>
        <v>0.1385552788</v>
      </c>
      <c r="J25" s="4">
        <v>3509440.0</v>
      </c>
      <c r="K25" s="47">
        <f t="shared" si="4"/>
        <v>0.1050221685</v>
      </c>
      <c r="L25" s="4">
        <v>9076286.0</v>
      </c>
      <c r="M25" s="48">
        <f t="shared" si="5"/>
        <v>0.2716134874</v>
      </c>
      <c r="N25" s="4">
        <v>1660441.0</v>
      </c>
      <c r="O25" s="47">
        <f t="shared" si="6"/>
        <v>0.04968972668</v>
      </c>
      <c r="P25" s="6">
        <f t="shared" si="11"/>
        <v>33416183.99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>
      <c r="A26" s="49">
        <v>2015.0</v>
      </c>
      <c r="B26" s="49" t="s">
        <v>126</v>
      </c>
      <c r="C26" s="49" t="s">
        <v>127</v>
      </c>
      <c r="D26" s="50">
        <f>SUM(D21:D25)</f>
        <v>144305971</v>
      </c>
      <c r="E26" s="51">
        <f t="shared" si="1"/>
        <v>0.4257425708</v>
      </c>
      <c r="F26" s="50">
        <f>SUM(F21:F25)</f>
        <v>37871401</v>
      </c>
      <c r="G26" s="51">
        <f t="shared" si="2"/>
        <v>0.1005019263</v>
      </c>
      <c r="H26" s="50">
        <f>SUM(H21:H25)</f>
        <v>72436443</v>
      </c>
      <c r="I26" s="51">
        <f t="shared" si="3"/>
        <v>0.2379754542</v>
      </c>
      <c r="J26" s="50">
        <f>SUM(J21:J25)</f>
        <v>34884984</v>
      </c>
      <c r="K26" s="51">
        <f t="shared" si="4"/>
        <v>0.09257666733</v>
      </c>
      <c r="L26" s="50">
        <f>SUM(L21:L25)</f>
        <v>72851713</v>
      </c>
      <c r="M26" s="52">
        <f t="shared" si="5"/>
        <v>0.1933315721</v>
      </c>
      <c r="N26" s="50">
        <f>SUM(N21:N25)</f>
        <v>14472126</v>
      </c>
      <c r="O26" s="51">
        <f t="shared" si="6"/>
        <v>0.03840567031</v>
      </c>
      <c r="P26" s="53">
        <f>SUM(P21:P25)</f>
        <v>376822643.2</v>
      </c>
      <c r="Q26" s="54"/>
      <c r="R26" s="55">
        <f>Total!R29*1000000</f>
        <v>518563445</v>
      </c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</row>
    <row r="27">
      <c r="A27" s="56">
        <v>2015.0</v>
      </c>
      <c r="B27" s="56" t="s">
        <v>128</v>
      </c>
      <c r="C27" s="56" t="s">
        <v>129</v>
      </c>
      <c r="D27" s="56">
        <v>983.0</v>
      </c>
      <c r="E27" s="57">
        <f t="shared" si="1"/>
        <v>0.4197267293</v>
      </c>
      <c r="F27" s="56">
        <v>308.0</v>
      </c>
      <c r="G27" s="57">
        <f t="shared" si="2"/>
        <v>0.1162264151</v>
      </c>
      <c r="H27" s="56">
        <v>504.0</v>
      </c>
      <c r="I27" s="57">
        <f t="shared" si="3"/>
        <v>0.2348555452</v>
      </c>
      <c r="J27" s="56">
        <v>265.0</v>
      </c>
      <c r="K27" s="57">
        <f t="shared" si="4"/>
        <v>0.1</v>
      </c>
      <c r="L27" s="56">
        <v>433.0</v>
      </c>
      <c r="M27" s="58">
        <f t="shared" si="5"/>
        <v>0.1633962264</v>
      </c>
      <c r="N27" s="56">
        <v>157.0</v>
      </c>
      <c r="O27" s="57">
        <f t="shared" si="6"/>
        <v>0.05924528302</v>
      </c>
      <c r="P27" s="59">
        <f t="shared" ref="P27:P28" si="12">SUM(D27:N27)</f>
        <v>2651.034205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</row>
    <row r="28">
      <c r="A28" s="60">
        <v>2015.0</v>
      </c>
      <c r="B28" s="60" t="s">
        <v>130</v>
      </c>
      <c r="C28" s="60" t="s">
        <v>131</v>
      </c>
      <c r="D28" s="60">
        <v>761446.0</v>
      </c>
      <c r="E28" s="61">
        <f t="shared" si="1"/>
        <v>0.4183008475</v>
      </c>
      <c r="F28" s="60">
        <v>303377.0</v>
      </c>
      <c r="G28" s="61">
        <f t="shared" si="2"/>
        <v>0.1428525014</v>
      </c>
      <c r="H28" s="60">
        <v>331763.0</v>
      </c>
      <c r="I28" s="61">
        <f t="shared" si="3"/>
        <v>0.185141285</v>
      </c>
      <c r="J28" s="60">
        <v>177327.0</v>
      </c>
      <c r="K28" s="61">
        <f t="shared" si="4"/>
        <v>0.08349876725</v>
      </c>
      <c r="L28" s="60">
        <v>477385.0</v>
      </c>
      <c r="M28" s="62">
        <f t="shared" si="5"/>
        <v>0.2247884361</v>
      </c>
      <c r="N28" s="60">
        <v>72410.0</v>
      </c>
      <c r="O28" s="61">
        <f t="shared" si="6"/>
        <v>0.0340960245</v>
      </c>
      <c r="P28" s="63">
        <f t="shared" si="12"/>
        <v>2123709.055</v>
      </c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</row>
    <row r="29">
      <c r="A29" s="42">
        <v>2016.0</v>
      </c>
      <c r="B29" s="42" t="s">
        <v>114</v>
      </c>
      <c r="C29" s="42" t="s">
        <v>115</v>
      </c>
      <c r="D29" s="42">
        <v>3.4846396E7</v>
      </c>
      <c r="E29" s="43">
        <f t="shared" si="1"/>
        <v>0.3237332006</v>
      </c>
      <c r="F29" s="42">
        <v>1.7316651E7</v>
      </c>
      <c r="G29" s="43">
        <f t="shared" si="2"/>
        <v>0.1385821086</v>
      </c>
      <c r="H29" s="42">
        <v>2.5143905E7</v>
      </c>
      <c r="I29" s="43">
        <f t="shared" si="3"/>
        <v>0.2519126786</v>
      </c>
      <c r="J29" s="42">
        <v>1.330231E7</v>
      </c>
      <c r="K29" s="43">
        <f t="shared" si="4"/>
        <v>0.1064560445</v>
      </c>
      <c r="L29" s="42">
        <v>2.857921E7</v>
      </c>
      <c r="M29" s="44">
        <f t="shared" si="5"/>
        <v>0.2287143851</v>
      </c>
      <c r="N29" s="42">
        <v>5767420.0</v>
      </c>
      <c r="O29" s="43">
        <f t="shared" si="6"/>
        <v>0.04615564667</v>
      </c>
      <c r="P29" s="45">
        <f>SUM(D29:N29)+Q29</f>
        <v>136853193</v>
      </c>
      <c r="Q29" s="42">
        <v>1.18973E7</v>
      </c>
      <c r="R29" s="45"/>
      <c r="S29" s="42">
        <v>6.6764794E7</v>
      </c>
      <c r="T29" s="42">
        <v>8716060.0</v>
      </c>
      <c r="U29" s="42">
        <v>1.2591383E7</v>
      </c>
      <c r="V29" s="42">
        <v>2.0110251E7</v>
      </c>
      <c r="W29" s="42">
        <v>3.5500584E7</v>
      </c>
      <c r="X29" s="42">
        <v>7000000.0</v>
      </c>
      <c r="Y29" s="42">
        <v>2337760.0</v>
      </c>
      <c r="Z29" s="42">
        <v>1.5390944E7</v>
      </c>
      <c r="AA29" s="42">
        <v>3942000.0</v>
      </c>
      <c r="AB29" s="45"/>
      <c r="AC29" s="45"/>
      <c r="AD29" s="45"/>
      <c r="AE29" s="45"/>
      <c r="AF29" s="45"/>
      <c r="AG29" s="45"/>
      <c r="AH29" s="45"/>
    </row>
    <row r="30">
      <c r="A30" s="4">
        <v>2016.0</v>
      </c>
      <c r="B30" s="4" t="s">
        <v>116</v>
      </c>
      <c r="C30" s="4" t="s">
        <v>117</v>
      </c>
      <c r="D30" s="4">
        <v>4.3254073E7</v>
      </c>
      <c r="E30" s="47">
        <f t="shared" si="1"/>
        <v>0.4323255832</v>
      </c>
      <c r="F30" s="4">
        <v>1.1488184E7</v>
      </c>
      <c r="G30" s="47">
        <f t="shared" si="2"/>
        <v>0.102997985</v>
      </c>
      <c r="H30" s="4">
        <v>2.3805549E7</v>
      </c>
      <c r="I30" s="47">
        <f t="shared" si="3"/>
        <v>0.2713427308</v>
      </c>
      <c r="J30" s="4">
        <v>1.164031E7</v>
      </c>
      <c r="K30" s="47">
        <f t="shared" si="4"/>
        <v>0.1043618796</v>
      </c>
      <c r="L30" s="4">
        <v>1.6619613E7</v>
      </c>
      <c r="M30" s="48">
        <f t="shared" si="5"/>
        <v>0.1490041116</v>
      </c>
      <c r="N30" s="4">
        <v>4730220.0</v>
      </c>
      <c r="O30" s="47">
        <f t="shared" si="6"/>
        <v>0.04240906384</v>
      </c>
      <c r="P30" s="6">
        <f t="shared" ref="P30:P34" si="13">SUM(D30:N30)</f>
        <v>111537950.1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4">
        <v>2016.0</v>
      </c>
      <c r="B31" s="4" t="s">
        <v>118</v>
      </c>
      <c r="C31" s="4" t="s">
        <v>119</v>
      </c>
      <c r="D31" s="4">
        <v>5.8413917E7</v>
      </c>
      <c r="E31" s="47">
        <f t="shared" si="1"/>
        <v>0.4278288338</v>
      </c>
      <c r="F31" s="4">
        <v>2.0620419E7</v>
      </c>
      <c r="G31" s="47">
        <f t="shared" si="2"/>
        <v>0.1312097599</v>
      </c>
      <c r="H31" s="4">
        <v>3.224207E7</v>
      </c>
      <c r="I31" s="47">
        <f t="shared" si="3"/>
        <v>0.2581140041</v>
      </c>
      <c r="J31" s="4">
        <v>1.2316429E7</v>
      </c>
      <c r="K31" s="47">
        <f t="shared" si="4"/>
        <v>0.07837065249</v>
      </c>
      <c r="L31" s="4">
        <v>2.7896991E7</v>
      </c>
      <c r="M31" s="48">
        <f t="shared" si="5"/>
        <v>0.1775113052</v>
      </c>
      <c r="N31" s="4">
        <v>5666311.0</v>
      </c>
      <c r="O31" s="47">
        <f t="shared" si="6"/>
        <v>0.03605529576</v>
      </c>
      <c r="P31" s="6">
        <f t="shared" si="13"/>
        <v>157156138.1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4">
        <v>2016.0</v>
      </c>
      <c r="B32" s="4" t="s">
        <v>120</v>
      </c>
      <c r="C32" s="4" t="s">
        <v>121</v>
      </c>
      <c r="D32" s="4">
        <v>2388859.0</v>
      </c>
      <c r="E32" s="47">
        <f t="shared" si="1"/>
        <v>0.378836521</v>
      </c>
      <c r="F32" s="4">
        <v>829119.0</v>
      </c>
      <c r="G32" s="47">
        <f t="shared" si="2"/>
        <v>0.1162061625</v>
      </c>
      <c r="H32" s="4">
        <v>1262788.0</v>
      </c>
      <c r="I32" s="47">
        <f t="shared" si="3"/>
        <v>0.2150484604</v>
      </c>
      <c r="J32" s="4">
        <v>578160.0</v>
      </c>
      <c r="K32" s="47">
        <f t="shared" si="4"/>
        <v>0.08103270447</v>
      </c>
      <c r="L32" s="4">
        <v>1917234.0</v>
      </c>
      <c r="M32" s="48">
        <f t="shared" si="5"/>
        <v>0.2687122183</v>
      </c>
      <c r="N32" s="4">
        <v>158737.0</v>
      </c>
      <c r="O32" s="47">
        <f t="shared" si="6"/>
        <v>0.02224797359</v>
      </c>
      <c r="P32" s="6">
        <f t="shared" si="13"/>
        <v>7134898.06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4">
        <v>2016.0</v>
      </c>
      <c r="B33" s="4" t="s">
        <v>122</v>
      </c>
      <c r="C33" s="4" t="s">
        <v>123</v>
      </c>
      <c r="D33" s="4">
        <v>3.5064098E7</v>
      </c>
      <c r="E33" s="47">
        <f t="shared" si="1"/>
        <v>0.4193982286</v>
      </c>
      <c r="F33" s="4">
        <v>6263815.0</v>
      </c>
      <c r="G33" s="47">
        <f t="shared" si="2"/>
        <v>0.06969896768</v>
      </c>
      <c r="H33" s="4">
        <v>1.6084994E7</v>
      </c>
      <c r="I33" s="47">
        <f t="shared" si="3"/>
        <v>0.2179994627</v>
      </c>
      <c r="J33" s="4">
        <v>8040021.0</v>
      </c>
      <c r="K33" s="47">
        <f t="shared" si="4"/>
        <v>0.08946323667</v>
      </c>
      <c r="L33" s="4">
        <v>2.1389589E7</v>
      </c>
      <c r="M33" s="48">
        <f t="shared" si="5"/>
        <v>0.2380070727</v>
      </c>
      <c r="N33" s="4">
        <v>3027035.0</v>
      </c>
      <c r="O33" s="47">
        <f t="shared" si="6"/>
        <v>0.03368254245</v>
      </c>
      <c r="P33" s="6">
        <f t="shared" si="13"/>
        <v>89869553.03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4">
        <v>2016.0</v>
      </c>
      <c r="B34" s="4" t="s">
        <v>124</v>
      </c>
      <c r="C34" s="4" t="s">
        <v>125</v>
      </c>
      <c r="D34" s="4">
        <v>1.2690387E7</v>
      </c>
      <c r="E34" s="47">
        <f t="shared" si="1"/>
        <v>0.4101797961</v>
      </c>
      <c r="F34" s="4">
        <v>1701929.0</v>
      </c>
      <c r="G34" s="47">
        <f t="shared" si="2"/>
        <v>0.05214159392</v>
      </c>
      <c r="H34" s="4">
        <v>4185934.0</v>
      </c>
      <c r="I34" s="47">
        <f t="shared" si="3"/>
        <v>0.1471092661</v>
      </c>
      <c r="J34" s="4">
        <v>3749776.0</v>
      </c>
      <c r="K34" s="47">
        <f t="shared" si="4"/>
        <v>0.1148809953</v>
      </c>
      <c r="L34" s="4">
        <v>8750460.0</v>
      </c>
      <c r="M34" s="48">
        <f t="shared" si="5"/>
        <v>0.2680857615</v>
      </c>
      <c r="N34" s="4">
        <v>1562039.0</v>
      </c>
      <c r="O34" s="47">
        <f t="shared" si="6"/>
        <v>0.04785581727</v>
      </c>
      <c r="P34" s="6">
        <f t="shared" si="13"/>
        <v>32640525.99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49">
        <v>2016.0</v>
      </c>
      <c r="B35" s="49" t="s">
        <v>126</v>
      </c>
      <c r="C35" s="49" t="s">
        <v>127</v>
      </c>
      <c r="D35" s="50">
        <f>SUM(D30:D34)</f>
        <v>151811334</v>
      </c>
      <c r="E35" s="51">
        <f t="shared" si="1"/>
        <v>0.4247236049</v>
      </c>
      <c r="F35" s="50">
        <f>SUM(F30:F34)</f>
        <v>40903466</v>
      </c>
      <c r="G35" s="51">
        <f t="shared" si="2"/>
        <v>0.1026850493</v>
      </c>
      <c r="H35" s="50">
        <f>SUM(H30:H34)</f>
        <v>77581335</v>
      </c>
      <c r="I35" s="51">
        <f t="shared" si="3"/>
        <v>0.2418689526</v>
      </c>
      <c r="J35" s="50">
        <f>SUM(J30:J34)</f>
        <v>36324696</v>
      </c>
      <c r="K35" s="51">
        <f t="shared" si="4"/>
        <v>0.09119039443</v>
      </c>
      <c r="L35" s="50">
        <f>SUM(L30:L34)</f>
        <v>76573887</v>
      </c>
      <c r="M35" s="52">
        <f t="shared" si="5"/>
        <v>0.1922329359</v>
      </c>
      <c r="N35" s="50">
        <f>SUM(N30:N34)</f>
        <v>15144342</v>
      </c>
      <c r="O35" s="51">
        <f t="shared" si="6"/>
        <v>0.03801872204</v>
      </c>
      <c r="P35" s="53">
        <f>SUM(P30:P34)</f>
        <v>398339065.2</v>
      </c>
      <c r="Q35" s="54"/>
      <c r="R35" s="55">
        <f>Total!S29*1000000</f>
        <v>598739168</v>
      </c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</row>
    <row r="36">
      <c r="A36" s="56">
        <v>2016.0</v>
      </c>
      <c r="B36" s="56" t="s">
        <v>128</v>
      </c>
      <c r="C36" s="56" t="s">
        <v>129</v>
      </c>
      <c r="D36" s="64">
        <v>962.0</v>
      </c>
      <c r="E36" s="57">
        <f t="shared" si="1"/>
        <v>0.4184428012</v>
      </c>
      <c r="F36" s="64">
        <v>301.0</v>
      </c>
      <c r="G36" s="57">
        <f t="shared" si="2"/>
        <v>0.1157692308</v>
      </c>
      <c r="H36" s="64">
        <v>502.0</v>
      </c>
      <c r="I36" s="57">
        <f t="shared" si="3"/>
        <v>0.2392755005</v>
      </c>
      <c r="J36" s="64">
        <v>255.0</v>
      </c>
      <c r="K36" s="57">
        <f t="shared" si="4"/>
        <v>0.09807692308</v>
      </c>
      <c r="L36" s="64">
        <v>429.0</v>
      </c>
      <c r="M36" s="58">
        <f t="shared" si="5"/>
        <v>0.165</v>
      </c>
      <c r="N36" s="64">
        <v>151.0</v>
      </c>
      <c r="O36" s="57">
        <f t="shared" si="6"/>
        <v>0.05807692308</v>
      </c>
      <c r="P36" s="59">
        <f t="shared" ref="P36:P37" si="14">SUM(D36:N36)</f>
        <v>2601.036564</v>
      </c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</row>
    <row r="37">
      <c r="A37" s="60">
        <v>2016.0</v>
      </c>
      <c r="B37" s="60" t="s">
        <v>130</v>
      </c>
      <c r="C37" s="60" t="s">
        <v>131</v>
      </c>
      <c r="D37" s="60">
        <v>773407.0</v>
      </c>
      <c r="E37" s="61">
        <f t="shared" si="1"/>
        <v>0.4192525944</v>
      </c>
      <c r="F37" s="60">
        <v>307461.0</v>
      </c>
      <c r="G37" s="61">
        <f t="shared" si="2"/>
        <v>0.1428596652</v>
      </c>
      <c r="H37" s="60">
        <v>335696.0</v>
      </c>
      <c r="I37" s="61">
        <f t="shared" si="3"/>
        <v>0.1848044556</v>
      </c>
      <c r="J37" s="60">
        <v>178107.0</v>
      </c>
      <c r="K37" s="61">
        <f t="shared" si="4"/>
        <v>0.08275620775</v>
      </c>
      <c r="L37" s="60">
        <v>484736.0</v>
      </c>
      <c r="M37" s="62">
        <f t="shared" si="5"/>
        <v>0.2252292898</v>
      </c>
      <c r="N37" s="60">
        <v>72782.0</v>
      </c>
      <c r="O37" s="61">
        <f t="shared" si="6"/>
        <v>0.03381766192</v>
      </c>
      <c r="P37" s="63">
        <f t="shared" si="14"/>
        <v>2152190.055</v>
      </c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</row>
    <row r="38">
      <c r="A38" s="42">
        <v>2017.0</v>
      </c>
      <c r="B38" s="42" t="s">
        <v>114</v>
      </c>
      <c r="C38" s="42" t="s">
        <v>115</v>
      </c>
      <c r="D38" s="42">
        <v>4.04371E7</v>
      </c>
      <c r="E38" s="43">
        <f t="shared" si="1"/>
        <v>0.3352218048</v>
      </c>
      <c r="F38" s="42">
        <v>1.7156388E7</v>
      </c>
      <c r="G38" s="43">
        <f t="shared" si="2"/>
        <v>0.1245162937</v>
      </c>
      <c r="H38" s="42">
        <v>2.7088102E7</v>
      </c>
      <c r="I38" s="43">
        <f t="shared" si="3"/>
        <v>0.2447067482</v>
      </c>
      <c r="J38" s="42">
        <v>1.436055E7</v>
      </c>
      <c r="K38" s="43">
        <f t="shared" si="4"/>
        <v>0.1042248789</v>
      </c>
      <c r="L38" s="42">
        <v>3.2102825E7</v>
      </c>
      <c r="M38" s="44">
        <f t="shared" si="5"/>
        <v>0.2329933775</v>
      </c>
      <c r="N38" s="42">
        <v>6639316.0</v>
      </c>
      <c r="O38" s="43">
        <f t="shared" si="6"/>
        <v>0.04818630944</v>
      </c>
      <c r="P38" s="45">
        <f>SUM(D38:N38)+Q38</f>
        <v>149148782</v>
      </c>
      <c r="Q38" s="42">
        <v>1.13645E7</v>
      </c>
      <c r="R38" s="45"/>
      <c r="S38" s="42">
        <v>6.456986E7</v>
      </c>
      <c r="T38" s="42">
        <v>8750600.0</v>
      </c>
      <c r="U38" s="42">
        <v>1.5835213E7</v>
      </c>
      <c r="V38" s="42">
        <v>2.4953377E7</v>
      </c>
      <c r="W38" s="42">
        <v>3.5440433E7</v>
      </c>
      <c r="X38" s="42">
        <v>1.32253E7</v>
      </c>
      <c r="Y38" s="42">
        <v>2933500.0</v>
      </c>
      <c r="Z38" s="42">
        <v>1.0862094E7</v>
      </c>
      <c r="AA38" s="42">
        <v>5308500.0</v>
      </c>
      <c r="AB38" s="45"/>
      <c r="AC38" s="45"/>
      <c r="AD38" s="45"/>
      <c r="AE38" s="45"/>
      <c r="AF38" s="45"/>
      <c r="AG38" s="45"/>
      <c r="AH38" s="45"/>
    </row>
    <row r="39">
      <c r="A39" s="4">
        <v>2017.0</v>
      </c>
      <c r="B39" s="4" t="s">
        <v>116</v>
      </c>
      <c r="C39" s="4" t="s">
        <v>117</v>
      </c>
      <c r="D39" s="4">
        <v>4.3189455E7</v>
      </c>
      <c r="E39" s="47">
        <f t="shared" si="1"/>
        <v>0.437175021</v>
      </c>
      <c r="F39" s="4">
        <v>1.1547933E7</v>
      </c>
      <c r="G39" s="47">
        <f t="shared" si="2"/>
        <v>0.1046576542</v>
      </c>
      <c r="H39" s="4">
        <v>2.3123106E7</v>
      </c>
      <c r="I39" s="47">
        <f t="shared" si="3"/>
        <v>0.2651216538</v>
      </c>
      <c r="J39" s="4">
        <v>1.1307647E7</v>
      </c>
      <c r="K39" s="47">
        <f t="shared" si="4"/>
        <v>0.1024799685</v>
      </c>
      <c r="L39" s="4">
        <v>1.6591099E7</v>
      </c>
      <c r="M39" s="48">
        <f t="shared" si="5"/>
        <v>0.1503633163</v>
      </c>
      <c r="N39" s="3">
        <v>4580831.0</v>
      </c>
      <c r="O39" s="47">
        <f t="shared" si="6"/>
        <v>0.04151557053</v>
      </c>
      <c r="P39" s="6">
        <f t="shared" ref="P39:P43" si="15">SUM(D39:N39)</f>
        <v>110340072.1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4">
        <v>2017.0</v>
      </c>
      <c r="B40" s="4" t="s">
        <v>118</v>
      </c>
      <c r="C40" s="4" t="s">
        <v>119</v>
      </c>
      <c r="D40" s="4">
        <v>5.7395367E7</v>
      </c>
      <c r="E40" s="47">
        <f t="shared" si="1"/>
        <v>0.429506071</v>
      </c>
      <c r="F40" s="4">
        <v>1.973521E7</v>
      </c>
      <c r="G40" s="47">
        <f t="shared" si="2"/>
        <v>0.12868022</v>
      </c>
      <c r="H40" s="4">
        <v>3.0927732E7</v>
      </c>
      <c r="I40" s="47">
        <f t="shared" si="3"/>
        <v>0.2525979435</v>
      </c>
      <c r="J40" s="4">
        <v>1.1852157E7</v>
      </c>
      <c r="K40" s="47">
        <f t="shared" si="4"/>
        <v>0.07728005785</v>
      </c>
      <c r="L40" s="4">
        <v>2.7987042E7</v>
      </c>
      <c r="M40" s="48">
        <f t="shared" si="5"/>
        <v>0.1824849456</v>
      </c>
      <c r="N40" s="3">
        <v>5468798.0</v>
      </c>
      <c r="O40" s="47">
        <f t="shared" si="6"/>
        <v>0.03565840596</v>
      </c>
      <c r="P40" s="6">
        <f t="shared" si="15"/>
        <v>153366307.1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4">
        <v>2017.0</v>
      </c>
      <c r="B41" s="4" t="s">
        <v>120</v>
      </c>
      <c r="C41" s="4" t="s">
        <v>121</v>
      </c>
      <c r="D41" s="4">
        <v>2520957.0</v>
      </c>
      <c r="E41" s="47">
        <f t="shared" si="1"/>
        <v>0.4005053666</v>
      </c>
      <c r="F41" s="4">
        <v>721977.0</v>
      </c>
      <c r="G41" s="47">
        <f t="shared" si="2"/>
        <v>0.1028982456</v>
      </c>
      <c r="H41" s="4">
        <v>1090335.0</v>
      </c>
      <c r="I41" s="47">
        <f t="shared" si="3"/>
        <v>0.1839891854</v>
      </c>
      <c r="J41" s="4">
        <v>641635.0</v>
      </c>
      <c r="K41" s="47">
        <f t="shared" si="4"/>
        <v>0.09144767194</v>
      </c>
      <c r="L41" s="4">
        <v>1878482.0</v>
      </c>
      <c r="M41" s="48">
        <f t="shared" si="5"/>
        <v>0.2677266759</v>
      </c>
      <c r="N41" s="3">
        <v>163031.0</v>
      </c>
      <c r="O41" s="47">
        <f t="shared" si="6"/>
        <v>0.02323564862</v>
      </c>
      <c r="P41" s="6">
        <f t="shared" si="15"/>
        <v>7016418.047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>
      <c r="A42" s="4">
        <v>2017.0</v>
      </c>
      <c r="B42" s="4" t="s">
        <v>122</v>
      </c>
      <c r="C42" s="4" t="s">
        <v>123</v>
      </c>
      <c r="D42" s="4">
        <v>3.2935406E7</v>
      </c>
      <c r="E42" s="47">
        <f t="shared" si="1"/>
        <v>0.4205301689</v>
      </c>
      <c r="F42" s="4">
        <v>6260631.0</v>
      </c>
      <c r="G42" s="47">
        <f t="shared" si="2"/>
        <v>0.07402075271</v>
      </c>
      <c r="H42" s="4">
        <v>1.4641372E7</v>
      </c>
      <c r="I42" s="47">
        <f t="shared" si="3"/>
        <v>0.2093477898</v>
      </c>
      <c r="J42" s="4">
        <v>7803757.0</v>
      </c>
      <c r="K42" s="47">
        <f t="shared" si="4"/>
        <v>0.09226545489</v>
      </c>
      <c r="L42" s="4">
        <v>2.0282527E7</v>
      </c>
      <c r="M42" s="48">
        <f t="shared" si="5"/>
        <v>0.2398045685</v>
      </c>
      <c r="N42" s="3">
        <v>2655709.0</v>
      </c>
      <c r="O42" s="47">
        <f t="shared" si="6"/>
        <v>0.03139900422</v>
      </c>
      <c r="P42" s="6">
        <f t="shared" si="15"/>
        <v>84579403.04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>
      <c r="A43" s="4">
        <v>2017.0</v>
      </c>
      <c r="B43" s="4" t="s">
        <v>124</v>
      </c>
      <c r="C43" s="4" t="s">
        <v>125</v>
      </c>
      <c r="D43" s="4">
        <v>1.2501876E7</v>
      </c>
      <c r="E43" s="47">
        <f t="shared" si="1"/>
        <v>0.4218606568</v>
      </c>
      <c r="F43" s="4">
        <v>1549256.0</v>
      </c>
      <c r="G43" s="47">
        <f t="shared" si="2"/>
        <v>0.04968057685</v>
      </c>
      <c r="H43" s="4">
        <v>3778288.0</v>
      </c>
      <c r="I43" s="47">
        <f t="shared" si="3"/>
        <v>0.137863272</v>
      </c>
      <c r="J43" s="4">
        <v>3448109.0</v>
      </c>
      <c r="K43" s="47">
        <f t="shared" si="4"/>
        <v>0.1105718126</v>
      </c>
      <c r="L43" s="4">
        <v>8613822.0</v>
      </c>
      <c r="M43" s="48">
        <f t="shared" si="5"/>
        <v>0.276222681</v>
      </c>
      <c r="N43" s="3">
        <v>1292989.0</v>
      </c>
      <c r="O43" s="47">
        <f t="shared" si="6"/>
        <v>0.04146276625</v>
      </c>
      <c r="P43" s="6">
        <f t="shared" si="15"/>
        <v>31184341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>
      <c r="A44" s="49">
        <v>2017.0</v>
      </c>
      <c r="B44" s="49" t="s">
        <v>126</v>
      </c>
      <c r="C44" s="49" t="s">
        <v>127</v>
      </c>
      <c r="D44" s="50">
        <f>SUM(D39:D43)</f>
        <v>148543061</v>
      </c>
      <c r="E44" s="51">
        <f t="shared" si="1"/>
        <v>0.4284835891</v>
      </c>
      <c r="F44" s="50">
        <f>SUM(F39:F43)</f>
        <v>39815007</v>
      </c>
      <c r="G44" s="51">
        <f t="shared" si="2"/>
        <v>0.1030178371</v>
      </c>
      <c r="H44" s="50">
        <f>SUM(H39:H43)</f>
        <v>73560833</v>
      </c>
      <c r="I44" s="51">
        <f t="shared" si="3"/>
        <v>0.2350744355</v>
      </c>
      <c r="J44" s="50">
        <f>SUM(J39:J43)</f>
        <v>35053305</v>
      </c>
      <c r="K44" s="51">
        <f t="shared" si="4"/>
        <v>0.09069735097</v>
      </c>
      <c r="L44" s="50">
        <f>SUM(L39:L43)</f>
        <v>75352972</v>
      </c>
      <c r="M44" s="52">
        <f t="shared" si="5"/>
        <v>0.1949692033</v>
      </c>
      <c r="N44" s="50">
        <f>SUM(N39:N43)</f>
        <v>14161358</v>
      </c>
      <c r="O44" s="51">
        <f t="shared" si="6"/>
        <v>0.03664127125</v>
      </c>
      <c r="P44" s="53">
        <f>SUM(P39:P43)</f>
        <v>386486541.2</v>
      </c>
      <c r="Q44" s="54"/>
      <c r="R44" s="55">
        <f>Total!T29*1000000</f>
        <v>553461839</v>
      </c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</row>
    <row r="45">
      <c r="A45" s="56">
        <v>2017.0</v>
      </c>
      <c r="B45" s="56" t="s">
        <v>128</v>
      </c>
      <c r="C45" s="56" t="s">
        <v>129</v>
      </c>
      <c r="D45" s="56">
        <v>962.0</v>
      </c>
      <c r="E45" s="57">
        <f t="shared" si="1"/>
        <v>0.4184428012</v>
      </c>
      <c r="F45" s="56">
        <v>301.0</v>
      </c>
      <c r="G45" s="57">
        <f t="shared" si="2"/>
        <v>0.1157692308</v>
      </c>
      <c r="H45" s="56">
        <v>502.0</v>
      </c>
      <c r="I45" s="57">
        <f t="shared" si="3"/>
        <v>0.2392755005</v>
      </c>
      <c r="J45" s="56">
        <v>255.0</v>
      </c>
      <c r="K45" s="57">
        <f t="shared" si="4"/>
        <v>0.09807692308</v>
      </c>
      <c r="L45" s="56">
        <v>429.0</v>
      </c>
      <c r="M45" s="58">
        <f t="shared" si="5"/>
        <v>0.165</v>
      </c>
      <c r="N45" s="56">
        <v>151.0</v>
      </c>
      <c r="O45" s="57">
        <f t="shared" si="6"/>
        <v>0.05807692308</v>
      </c>
      <c r="P45" s="59">
        <f t="shared" ref="P45:P46" si="16">SUM(D45:N45)</f>
        <v>2601.036564</v>
      </c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</row>
    <row r="46">
      <c r="A46" s="60">
        <v>2017.0</v>
      </c>
      <c r="B46" s="60" t="s">
        <v>130</v>
      </c>
      <c r="C46" s="60" t="s">
        <v>131</v>
      </c>
      <c r="D46" s="60">
        <v>784822.0</v>
      </c>
      <c r="E46" s="61">
        <f t="shared" si="1"/>
        <v>0.4207684814</v>
      </c>
      <c r="F46" s="60">
        <v>311914.0</v>
      </c>
      <c r="G46" s="61">
        <f t="shared" si="2"/>
        <v>0.1432687604</v>
      </c>
      <c r="H46" s="60">
        <v>339176.0</v>
      </c>
      <c r="I46" s="61">
        <f t="shared" si="3"/>
        <v>0.1845404851</v>
      </c>
      <c r="J46" s="60">
        <v>178567.0</v>
      </c>
      <c r="K46" s="61">
        <f t="shared" si="4"/>
        <v>0.08201963599</v>
      </c>
      <c r="L46" s="60">
        <v>489524.0</v>
      </c>
      <c r="M46" s="62">
        <f t="shared" si="5"/>
        <v>0.2248488259</v>
      </c>
      <c r="N46" s="60">
        <v>73122.0</v>
      </c>
      <c r="O46" s="61">
        <f t="shared" si="6"/>
        <v>0.03358649595</v>
      </c>
      <c r="P46" s="63">
        <f t="shared" si="16"/>
        <v>2177126.055</v>
      </c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</row>
    <row r="47">
      <c r="A47" s="42">
        <v>2018.0</v>
      </c>
      <c r="B47" s="42" t="s">
        <v>114</v>
      </c>
      <c r="C47" s="42" t="s">
        <v>115</v>
      </c>
      <c r="D47" s="42">
        <v>3.863236E7</v>
      </c>
      <c r="E47" s="43">
        <f t="shared" si="1"/>
        <v>0.2881986297</v>
      </c>
      <c r="F47" s="42">
        <v>1.9944842E7</v>
      </c>
      <c r="G47" s="43">
        <f t="shared" si="2"/>
        <v>0.1295182435</v>
      </c>
      <c r="H47" s="42">
        <v>3.3255111E7</v>
      </c>
      <c r="I47" s="43">
        <f t="shared" si="3"/>
        <v>0.2754333435</v>
      </c>
      <c r="J47" s="42">
        <v>1.57702E7</v>
      </c>
      <c r="K47" s="43">
        <f t="shared" si="4"/>
        <v>0.1024088636</v>
      </c>
      <c r="L47" s="42">
        <v>4.0630366E7</v>
      </c>
      <c r="M47" s="44">
        <f t="shared" si="5"/>
        <v>0.2638463437</v>
      </c>
      <c r="N47" s="42">
        <v>5759651.0</v>
      </c>
      <c r="O47" s="43">
        <f t="shared" si="6"/>
        <v>0.03740214542</v>
      </c>
      <c r="P47" s="45">
        <f>SUM(D47:N47)+Q47</f>
        <v>164705131.1</v>
      </c>
      <c r="Q47" s="42">
        <v>1.07126E7</v>
      </c>
      <c r="R47" s="45"/>
      <c r="S47" s="42">
        <v>7.7594623E7</v>
      </c>
      <c r="T47" s="42">
        <v>1.180056E7</v>
      </c>
      <c r="U47" s="42">
        <v>1.4401698E7</v>
      </c>
      <c r="V47" s="42">
        <v>1.7804145E7</v>
      </c>
      <c r="W47" s="42">
        <v>3.5507503E7</v>
      </c>
      <c r="X47" s="42">
        <v>1.27115E7</v>
      </c>
      <c r="Y47" s="42">
        <v>3198500.0</v>
      </c>
      <c r="Z47" s="42">
        <v>1.7041784E7</v>
      </c>
      <c r="AA47" s="42">
        <v>7511000.0</v>
      </c>
      <c r="AB47" s="45"/>
      <c r="AC47" s="45"/>
      <c r="AD47" s="45"/>
      <c r="AE47" s="45"/>
      <c r="AF47" s="45"/>
      <c r="AG47" s="45"/>
      <c r="AH47" s="45"/>
    </row>
    <row r="48">
      <c r="A48" s="4">
        <v>2018.0</v>
      </c>
      <c r="B48" s="4" t="s">
        <v>116</v>
      </c>
      <c r="C48" s="4" t="s">
        <v>117</v>
      </c>
      <c r="D48" s="4">
        <v>4.3705543E7</v>
      </c>
      <c r="E48" s="47">
        <f t="shared" si="1"/>
        <v>0.4378786857</v>
      </c>
      <c r="F48" s="4">
        <v>1.2305099E7</v>
      </c>
      <c r="G48" s="47">
        <f t="shared" si="2"/>
        <v>0.1097522163</v>
      </c>
      <c r="H48" s="4">
        <v>2.3159858E7</v>
      </c>
      <c r="I48" s="47">
        <f t="shared" si="3"/>
        <v>0.2603482341</v>
      </c>
      <c r="J48" s="4">
        <v>1.1689955E7</v>
      </c>
      <c r="K48" s="47">
        <f t="shared" si="4"/>
        <v>0.1042655951</v>
      </c>
      <c r="L48" s="4">
        <v>1.6644319E7</v>
      </c>
      <c r="M48" s="48">
        <f t="shared" si="5"/>
        <v>0.1484547909</v>
      </c>
      <c r="N48" s="4">
        <v>4612315.0</v>
      </c>
      <c r="O48" s="47">
        <f t="shared" si="6"/>
        <v>0.04113837633</v>
      </c>
      <c r="P48" s="6">
        <f t="shared" ref="P48:P52" si="17">SUM(D48:N48)</f>
        <v>112117090.1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>
      <c r="A49" s="4">
        <v>2018.0</v>
      </c>
      <c r="B49" s="4" t="s">
        <v>118</v>
      </c>
      <c r="C49" s="4" t="s">
        <v>119</v>
      </c>
      <c r="D49" s="4">
        <v>5.5987132E7</v>
      </c>
      <c r="E49" s="47">
        <f t="shared" si="1"/>
        <v>0.4266537182</v>
      </c>
      <c r="F49" s="4">
        <v>1.9143239E7</v>
      </c>
      <c r="G49" s="47">
        <f t="shared" si="2"/>
        <v>0.1273100554</v>
      </c>
      <c r="H49" s="4">
        <v>3.0239468E7</v>
      </c>
      <c r="I49" s="47">
        <f t="shared" si="3"/>
        <v>0.2517279086</v>
      </c>
      <c r="J49" s="4">
        <v>1.1764147E7</v>
      </c>
      <c r="K49" s="47">
        <f t="shared" si="4"/>
        <v>0.07823619644</v>
      </c>
      <c r="L49" s="4">
        <v>2.7906608E7</v>
      </c>
      <c r="M49" s="48">
        <f t="shared" si="5"/>
        <v>0.1855899</v>
      </c>
      <c r="N49" s="4">
        <v>5326468.0</v>
      </c>
      <c r="O49" s="47">
        <f t="shared" si="6"/>
        <v>0.0354231035</v>
      </c>
      <c r="P49" s="6">
        <f t="shared" si="17"/>
        <v>150367063.1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>
      <c r="A50" s="4">
        <v>2018.0</v>
      </c>
      <c r="B50" s="4" t="s">
        <v>120</v>
      </c>
      <c r="C50" s="4" t="s">
        <v>121</v>
      </c>
      <c r="D50" s="4">
        <v>4471843.0</v>
      </c>
      <c r="E50" s="47">
        <f t="shared" si="1"/>
        <v>0.3896728028</v>
      </c>
      <c r="F50" s="4">
        <v>1294942.0</v>
      </c>
      <c r="G50" s="47">
        <f t="shared" si="2"/>
        <v>0.1013983895</v>
      </c>
      <c r="H50" s="4">
        <v>2096855.0</v>
      </c>
      <c r="I50" s="47">
        <f t="shared" si="3"/>
        <v>0.1964454867</v>
      </c>
      <c r="J50" s="4">
        <v>914147.0</v>
      </c>
      <c r="K50" s="47">
        <f t="shared" si="4"/>
        <v>0.07158083803</v>
      </c>
      <c r="L50" s="4">
        <v>3671657.0</v>
      </c>
      <c r="M50" s="48">
        <f t="shared" si="5"/>
        <v>0.2875033064</v>
      </c>
      <c r="N50" s="4">
        <v>321390.0</v>
      </c>
      <c r="O50" s="47">
        <f t="shared" si="6"/>
        <v>0.0251659367</v>
      </c>
      <c r="P50" s="6">
        <f t="shared" si="17"/>
        <v>12770835.05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>
      <c r="A51" s="4">
        <v>2018.0</v>
      </c>
      <c r="B51" s="4" t="s">
        <v>122</v>
      </c>
      <c r="C51" s="4" t="s">
        <v>123</v>
      </c>
      <c r="D51" s="4">
        <v>3.3005667E7</v>
      </c>
      <c r="E51" s="47">
        <f t="shared" si="1"/>
        <v>0.4281317683</v>
      </c>
      <c r="F51" s="4">
        <v>6135150.0</v>
      </c>
      <c r="G51" s="47">
        <f t="shared" si="2"/>
        <v>0.07371545401</v>
      </c>
      <c r="H51" s="4">
        <v>1.4453867E7</v>
      </c>
      <c r="I51" s="47">
        <f t="shared" si="3"/>
        <v>0.2101659426</v>
      </c>
      <c r="J51" s="4">
        <v>7567150.0</v>
      </c>
      <c r="K51" s="47">
        <f t="shared" si="4"/>
        <v>0.09092131371</v>
      </c>
      <c r="L51" s="4">
        <v>1.9612739E7</v>
      </c>
      <c r="M51" s="48">
        <f t="shared" si="5"/>
        <v>0.2356522595</v>
      </c>
      <c r="N51" s="4">
        <v>2452887.0</v>
      </c>
      <c r="O51" s="47">
        <f t="shared" si="6"/>
        <v>0.0294720877</v>
      </c>
      <c r="P51" s="6">
        <f t="shared" si="17"/>
        <v>83227461.04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4">
        <v>2018.0</v>
      </c>
      <c r="B52" s="4" t="s">
        <v>124</v>
      </c>
      <c r="C52" s="4" t="s">
        <v>125</v>
      </c>
      <c r="D52" s="4">
        <v>1.1293874E7</v>
      </c>
      <c r="E52" s="47">
        <f t="shared" si="1"/>
        <v>0.4046041123</v>
      </c>
      <c r="F52" s="4">
        <v>1566671.0</v>
      </c>
      <c r="G52" s="47">
        <f t="shared" si="2"/>
        <v>0.05314340386</v>
      </c>
      <c r="H52" s="4">
        <v>3778454.0</v>
      </c>
      <c r="I52" s="47">
        <f t="shared" si="3"/>
        <v>0.147012341</v>
      </c>
      <c r="J52" s="4">
        <v>3360314.0</v>
      </c>
      <c r="K52" s="47">
        <f t="shared" si="4"/>
        <v>0.1139859766</v>
      </c>
      <c r="L52" s="4">
        <v>8326455.0</v>
      </c>
      <c r="M52" s="48">
        <f t="shared" si="5"/>
        <v>0.2824435767</v>
      </c>
      <c r="N52" s="4">
        <v>1154297.0</v>
      </c>
      <c r="O52" s="47">
        <f t="shared" si="6"/>
        <v>0.03915517147</v>
      </c>
      <c r="P52" s="6">
        <f t="shared" si="17"/>
        <v>29480066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49">
        <v>2018.0</v>
      </c>
      <c r="B53" s="49" t="s">
        <v>126</v>
      </c>
      <c r="C53" s="49" t="s">
        <v>127</v>
      </c>
      <c r="D53" s="50">
        <f>SUM(D48:D52)</f>
        <v>148464059</v>
      </c>
      <c r="E53" s="51">
        <f t="shared" si="1"/>
        <v>0.4272132997</v>
      </c>
      <c r="F53" s="50">
        <f>SUM(F48:F52)</f>
        <v>40445101</v>
      </c>
      <c r="G53" s="51">
        <f t="shared" si="2"/>
        <v>0.1042500241</v>
      </c>
      <c r="H53" s="50">
        <f>SUM(H48:H52)</f>
        <v>73728502</v>
      </c>
      <c r="I53" s="51">
        <f t="shared" si="3"/>
        <v>0.2346292894</v>
      </c>
      <c r="J53" s="50">
        <f>SUM(J48:J52)</f>
        <v>35295713</v>
      </c>
      <c r="K53" s="51">
        <f t="shared" si="4"/>
        <v>0.09097712302</v>
      </c>
      <c r="L53" s="50">
        <f>SUM(L48:L52)</f>
        <v>76161778</v>
      </c>
      <c r="M53" s="52">
        <f t="shared" si="5"/>
        <v>0.1963122107</v>
      </c>
      <c r="N53" s="50">
        <f>SUM(N48:N52)</f>
        <v>13867357</v>
      </c>
      <c r="O53" s="51">
        <f t="shared" si="6"/>
        <v>0.03574406455</v>
      </c>
      <c r="P53" s="53">
        <f>SUM(P48:P52)</f>
        <v>387962515.2</v>
      </c>
      <c r="Q53" s="54"/>
      <c r="R53" s="55">
        <f>Total!U29*1000000</f>
        <v>555399824</v>
      </c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</row>
    <row r="54">
      <c r="A54" s="56">
        <v>2018.0</v>
      </c>
      <c r="B54" s="56" t="s">
        <v>128</v>
      </c>
      <c r="C54" s="56" t="s">
        <v>129</v>
      </c>
      <c r="D54" s="56">
        <v>942.0</v>
      </c>
      <c r="E54" s="57">
        <f t="shared" si="1"/>
        <v>0.4266304348</v>
      </c>
      <c r="F54" s="56">
        <v>292.0</v>
      </c>
      <c r="G54" s="57">
        <f t="shared" si="2"/>
        <v>0.1168</v>
      </c>
      <c r="H54" s="56">
        <v>466.0</v>
      </c>
      <c r="I54" s="57">
        <f t="shared" si="3"/>
        <v>0.2291052114</v>
      </c>
      <c r="J54" s="56">
        <v>244.0</v>
      </c>
      <c r="K54" s="57">
        <f t="shared" si="4"/>
        <v>0.0976</v>
      </c>
      <c r="L54" s="56">
        <v>420.0</v>
      </c>
      <c r="M54" s="58">
        <f t="shared" si="5"/>
        <v>0.168</v>
      </c>
      <c r="N54" s="56">
        <v>136.0</v>
      </c>
      <c r="O54" s="57">
        <f t="shared" si="6"/>
        <v>0.0544</v>
      </c>
      <c r="P54" s="59">
        <f t="shared" ref="P54:P55" si="18">SUM(D54:N54)</f>
        <v>2501.038136</v>
      </c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</row>
    <row r="55">
      <c r="A55" s="60">
        <v>2018.0</v>
      </c>
      <c r="B55" s="60" t="s">
        <v>130</v>
      </c>
      <c r="C55" s="60" t="s">
        <v>131</v>
      </c>
      <c r="D55" s="60">
        <v>793129.0</v>
      </c>
      <c r="E55" s="61">
        <f t="shared" si="1"/>
        <v>0.4216315497</v>
      </c>
      <c r="F55" s="60">
        <v>315074.0</v>
      </c>
      <c r="G55" s="61">
        <f t="shared" si="2"/>
        <v>0.1434652798</v>
      </c>
      <c r="H55" s="60">
        <v>341463.0</v>
      </c>
      <c r="I55" s="61">
        <f t="shared" si="3"/>
        <v>0.1841062681</v>
      </c>
      <c r="J55" s="60">
        <v>177964.0</v>
      </c>
      <c r="K55" s="61">
        <f t="shared" si="4"/>
        <v>0.08103383665</v>
      </c>
      <c r="L55" s="60">
        <v>495249.0</v>
      </c>
      <c r="M55" s="62">
        <f t="shared" si="5"/>
        <v>0.2255058695</v>
      </c>
      <c r="N55" s="60">
        <v>73290.0</v>
      </c>
      <c r="O55" s="61">
        <f t="shared" si="6"/>
        <v>0.03337174871</v>
      </c>
      <c r="P55" s="63">
        <f t="shared" si="18"/>
        <v>2196170.056</v>
      </c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</row>
    <row r="56">
      <c r="A56" s="42">
        <v>2019.0</v>
      </c>
      <c r="B56" s="42" t="s">
        <v>114</v>
      </c>
      <c r="C56" s="42" t="s">
        <v>115</v>
      </c>
      <c r="D56" s="42">
        <v>4.125817E7</v>
      </c>
      <c r="E56" s="43">
        <f t="shared" si="1"/>
        <v>0.3484806499</v>
      </c>
      <c r="F56" s="42">
        <v>1.9802308E7</v>
      </c>
      <c r="G56" s="43">
        <f t="shared" si="2"/>
        <v>0.1432906987</v>
      </c>
      <c r="H56" s="42">
        <v>3.0277691E7</v>
      </c>
      <c r="I56" s="43">
        <f t="shared" si="3"/>
        <v>0.2805592725</v>
      </c>
      <c r="J56" s="42">
        <v>1.402395E7</v>
      </c>
      <c r="K56" s="43">
        <f t="shared" si="4"/>
        <v>0.1014781506</v>
      </c>
      <c r="L56" s="42">
        <v>2.709216E7</v>
      </c>
      <c r="M56" s="44">
        <f t="shared" si="5"/>
        <v>0.1960405087</v>
      </c>
      <c r="N56" s="42">
        <v>5742465.0</v>
      </c>
      <c r="O56" s="43">
        <f t="shared" si="6"/>
        <v>0.04155282414</v>
      </c>
      <c r="P56" s="45">
        <f>SUM(D56:N56)+Q56</f>
        <v>151645945.1</v>
      </c>
      <c r="Q56" s="42">
        <v>1.34492E7</v>
      </c>
      <c r="R56" s="45"/>
      <c r="S56" s="42">
        <v>7.3191631E7</v>
      </c>
      <c r="T56" s="42">
        <v>1.19048E7</v>
      </c>
      <c r="U56" s="42">
        <v>1.7272678E7</v>
      </c>
      <c r="V56" s="42">
        <v>1.671888E7</v>
      </c>
      <c r="W56" s="42">
        <v>3.683844E7</v>
      </c>
      <c r="X56" s="42">
        <v>1.24151E7</v>
      </c>
      <c r="Y56" s="42">
        <v>2767000.0</v>
      </c>
      <c r="Z56" s="42">
        <v>1.2226624E7</v>
      </c>
      <c r="AA56" s="42">
        <v>2503040.0</v>
      </c>
      <c r="AB56" s="45"/>
      <c r="AC56" s="45"/>
      <c r="AD56" s="45"/>
      <c r="AE56" s="45"/>
      <c r="AF56" s="45"/>
      <c r="AG56" s="45"/>
      <c r="AH56" s="45"/>
    </row>
    <row r="57">
      <c r="A57" s="4">
        <v>2019.0</v>
      </c>
      <c r="B57" s="4" t="s">
        <v>116</v>
      </c>
      <c r="C57" s="4" t="s">
        <v>117</v>
      </c>
      <c r="D57" s="4">
        <v>4.7486109E7</v>
      </c>
      <c r="E57" s="47">
        <f t="shared" si="1"/>
        <v>0.4393146075</v>
      </c>
      <c r="F57" s="4">
        <v>1.3786135E7</v>
      </c>
      <c r="G57" s="47">
        <f t="shared" si="2"/>
        <v>0.1131146987</v>
      </c>
      <c r="H57" s="4">
        <v>2.4951674E7</v>
      </c>
      <c r="I57" s="47">
        <f t="shared" si="3"/>
        <v>0.2574306446</v>
      </c>
      <c r="J57" s="4">
        <v>1.2315837E7</v>
      </c>
      <c r="K57" s="47">
        <f t="shared" si="4"/>
        <v>0.1010509611</v>
      </c>
      <c r="L57" s="4">
        <v>1.8399453E7</v>
      </c>
      <c r="M57" s="48">
        <f t="shared" si="5"/>
        <v>0.1509667926</v>
      </c>
      <c r="N57" s="4">
        <v>4938277.0</v>
      </c>
      <c r="O57" s="47">
        <f t="shared" si="6"/>
        <v>0.04051836974</v>
      </c>
      <c r="P57" s="6">
        <f t="shared" ref="P57:P61" si="19">SUM(D57:N57)</f>
        <v>121877486.1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4">
        <v>2019.0</v>
      </c>
      <c r="B58" s="4" t="s">
        <v>118</v>
      </c>
      <c r="C58" s="4" t="s">
        <v>119</v>
      </c>
      <c r="D58" s="4">
        <v>6.0279504E7</v>
      </c>
      <c r="E58" s="47">
        <f t="shared" si="1"/>
        <v>0.4254934538</v>
      </c>
      <c r="F58" s="4">
        <v>1.9852536E7</v>
      </c>
      <c r="G58" s="47">
        <f t="shared" si="2"/>
        <v>0.1229090433</v>
      </c>
      <c r="H58" s="4">
        <v>3.2200708E7</v>
      </c>
      <c r="I58" s="47">
        <f t="shared" si="3"/>
        <v>0.2489973919</v>
      </c>
      <c r="J58" s="4">
        <v>1.2662287E7</v>
      </c>
      <c r="K58" s="47">
        <f t="shared" si="4"/>
        <v>0.07839348993</v>
      </c>
      <c r="L58" s="4">
        <v>3.0762903E7</v>
      </c>
      <c r="M58" s="48">
        <f t="shared" si="5"/>
        <v>0.1904562206</v>
      </c>
      <c r="N58" s="4">
        <v>5764237.0</v>
      </c>
      <c r="O58" s="47">
        <f t="shared" si="6"/>
        <v>0.03568696992</v>
      </c>
      <c r="P58" s="6">
        <f t="shared" si="19"/>
        <v>161522176.1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4">
        <v>2019.0</v>
      </c>
      <c r="B59" s="4" t="s">
        <v>120</v>
      </c>
      <c r="C59" s="4" t="s">
        <v>121</v>
      </c>
      <c r="D59" s="4">
        <v>8089397.0</v>
      </c>
      <c r="E59" s="47">
        <f t="shared" si="1"/>
        <v>0.4533589961</v>
      </c>
      <c r="F59" s="4">
        <v>1953059.0</v>
      </c>
      <c r="G59" s="47">
        <f t="shared" si="2"/>
        <v>0.0986577446</v>
      </c>
      <c r="H59" s="4">
        <v>2708429.0</v>
      </c>
      <c r="I59" s="47">
        <f t="shared" si="3"/>
        <v>0.1585000197</v>
      </c>
      <c r="J59" s="4">
        <v>1425115.0</v>
      </c>
      <c r="K59" s="47">
        <f t="shared" si="4"/>
        <v>0.07198893208</v>
      </c>
      <c r="L59" s="4">
        <v>5154600.0</v>
      </c>
      <c r="M59" s="48">
        <f t="shared" si="5"/>
        <v>0.2603818985</v>
      </c>
      <c r="N59" s="4">
        <v>465707.0</v>
      </c>
      <c r="O59" s="47">
        <f t="shared" si="6"/>
        <v>0.02352494331</v>
      </c>
      <c r="P59" s="6">
        <f t="shared" si="19"/>
        <v>19796308.04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>
      <c r="A60" s="4">
        <v>2019.0</v>
      </c>
      <c r="B60" s="4" t="s">
        <v>122</v>
      </c>
      <c r="C60" s="4" t="s">
        <v>123</v>
      </c>
      <c r="D60" s="4">
        <v>3.0478084E7</v>
      </c>
      <c r="E60" s="47">
        <f t="shared" si="1"/>
        <v>0.4339216511</v>
      </c>
      <c r="F60" s="4">
        <v>5861432.0</v>
      </c>
      <c r="G60" s="47">
        <f t="shared" si="2"/>
        <v>0.07702264617</v>
      </c>
      <c r="H60" s="4">
        <v>1.2642231E7</v>
      </c>
      <c r="I60" s="47">
        <f t="shared" si="3"/>
        <v>0.1992223945</v>
      </c>
      <c r="J60" s="4">
        <v>6807643.0</v>
      </c>
      <c r="K60" s="47">
        <f t="shared" si="4"/>
        <v>0.08945641236</v>
      </c>
      <c r="L60" s="4">
        <v>1.7913628E7</v>
      </c>
      <c r="M60" s="48">
        <f t="shared" si="5"/>
        <v>0.2353955537</v>
      </c>
      <c r="N60" s="4">
        <v>2397094.0</v>
      </c>
      <c r="O60" s="47">
        <f t="shared" si="6"/>
        <v>0.03149921777</v>
      </c>
      <c r="P60" s="6">
        <f t="shared" si="19"/>
        <v>76100113.04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>
      <c r="A61" s="4">
        <v>2019.0</v>
      </c>
      <c r="B61" s="4" t="s">
        <v>124</v>
      </c>
      <c r="C61" s="4" t="s">
        <v>125</v>
      </c>
      <c r="D61" s="4">
        <v>1.0732354E7</v>
      </c>
      <c r="E61" s="47">
        <f t="shared" si="1"/>
        <v>0.3923347656</v>
      </c>
      <c r="F61" s="4">
        <v>1406449.0</v>
      </c>
      <c r="G61" s="47">
        <f t="shared" si="2"/>
        <v>0.04890033365</v>
      </c>
      <c r="H61" s="4">
        <v>3664306.0</v>
      </c>
      <c r="I61" s="47">
        <f t="shared" si="3"/>
        <v>0.1460043648</v>
      </c>
      <c r="J61" s="4">
        <v>3360920.0</v>
      </c>
      <c r="K61" s="47">
        <f t="shared" si="4"/>
        <v>0.1168546526</v>
      </c>
      <c r="L61" s="4">
        <v>8576483.0</v>
      </c>
      <c r="M61" s="48">
        <f t="shared" si="5"/>
        <v>0.2981927395</v>
      </c>
      <c r="N61" s="4">
        <v>1021030.0</v>
      </c>
      <c r="O61" s="47">
        <f t="shared" si="6"/>
        <v>0.03549983516</v>
      </c>
      <c r="P61" s="6">
        <f t="shared" si="19"/>
        <v>28761543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>
      <c r="A62" s="49">
        <v>2019.0</v>
      </c>
      <c r="B62" s="49" t="s">
        <v>126</v>
      </c>
      <c r="C62" s="49" t="s">
        <v>127</v>
      </c>
      <c r="D62" s="50">
        <f>SUM(D57:D61)</f>
        <v>157065448</v>
      </c>
      <c r="E62" s="51">
        <f t="shared" si="1"/>
        <v>0.4300829788</v>
      </c>
      <c r="F62" s="50">
        <f>SUM(F57:F61)</f>
        <v>42859611</v>
      </c>
      <c r="G62" s="51">
        <f t="shared" si="2"/>
        <v>0.1050332325</v>
      </c>
      <c r="H62" s="50">
        <f>SUM(H57:H61)</f>
        <v>76167348</v>
      </c>
      <c r="I62" s="51">
        <f t="shared" si="3"/>
        <v>0.2294955719</v>
      </c>
      <c r="J62" s="50">
        <f>SUM(J57:J61)</f>
        <v>36571802</v>
      </c>
      <c r="K62" s="51">
        <f t="shared" si="4"/>
        <v>0.08962411218</v>
      </c>
      <c r="L62" s="50">
        <f>SUM(L57:L61)</f>
        <v>80807067</v>
      </c>
      <c r="M62" s="52">
        <f t="shared" si="5"/>
        <v>0.1980285696</v>
      </c>
      <c r="N62" s="50">
        <f>SUM(N57:N61)</f>
        <v>14586345</v>
      </c>
      <c r="O62" s="51">
        <f t="shared" si="6"/>
        <v>0.03574579728</v>
      </c>
      <c r="P62" s="53">
        <f>SUM(P57:P61)</f>
        <v>408057626.2</v>
      </c>
      <c r="Q62" s="54"/>
      <c r="R62" s="55">
        <f>Total!V29*1000000</f>
        <v>594736460</v>
      </c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</row>
    <row r="63">
      <c r="A63" s="56">
        <v>2019.0</v>
      </c>
      <c r="B63" s="56" t="s">
        <v>128</v>
      </c>
      <c r="C63" s="56" t="s">
        <v>129</v>
      </c>
      <c r="D63" s="56">
        <v>913.0</v>
      </c>
      <c r="E63" s="57">
        <f t="shared" si="1"/>
        <v>0.4238625812</v>
      </c>
      <c r="F63" s="56">
        <v>296.0</v>
      </c>
      <c r="G63" s="57">
        <f t="shared" si="2"/>
        <v>0.1208163265</v>
      </c>
      <c r="H63" s="56">
        <v>444.0</v>
      </c>
      <c r="I63" s="57">
        <f t="shared" si="3"/>
        <v>0.221335992</v>
      </c>
      <c r="J63" s="56">
        <v>238.0</v>
      </c>
      <c r="K63" s="57">
        <f t="shared" si="4"/>
        <v>0.09714285714</v>
      </c>
      <c r="L63" s="56">
        <v>428.0</v>
      </c>
      <c r="M63" s="58">
        <f t="shared" si="5"/>
        <v>0.1746938776</v>
      </c>
      <c r="N63" s="56">
        <v>131.0</v>
      </c>
      <c r="O63" s="57">
        <f t="shared" si="6"/>
        <v>0.05346938776</v>
      </c>
      <c r="P63" s="59">
        <f t="shared" ref="P63:P64" si="20">SUM(D63:N63)</f>
        <v>2451.037852</v>
      </c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</row>
    <row r="64">
      <c r="A64" s="60">
        <v>2019.0</v>
      </c>
      <c r="B64" s="60" t="s">
        <v>130</v>
      </c>
      <c r="C64" s="60" t="s">
        <v>131</v>
      </c>
      <c r="D64" s="60">
        <v>799145.0</v>
      </c>
      <c r="E64" s="61">
        <f t="shared" si="1"/>
        <v>0.4221916275</v>
      </c>
      <c r="F64" s="60">
        <v>318714.0</v>
      </c>
      <c r="G64" s="61">
        <f t="shared" si="2"/>
        <v>0.1441125575</v>
      </c>
      <c r="H64" s="60">
        <v>343955.0</v>
      </c>
      <c r="I64" s="61">
        <f t="shared" si="3"/>
        <v>0.1841687335</v>
      </c>
      <c r="J64" s="60">
        <v>176850.0</v>
      </c>
      <c r="K64" s="61">
        <f t="shared" si="4"/>
        <v>0.07996606925</v>
      </c>
      <c r="L64" s="60">
        <v>499480.0</v>
      </c>
      <c r="M64" s="62">
        <f t="shared" si="5"/>
        <v>0.2258493201</v>
      </c>
      <c r="N64" s="60">
        <v>73419.0</v>
      </c>
      <c r="O64" s="61">
        <f t="shared" si="6"/>
        <v>0.03319778817</v>
      </c>
      <c r="P64" s="63">
        <f t="shared" si="20"/>
        <v>2211564.056</v>
      </c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</row>
    <row r="65">
      <c r="A65" s="42">
        <v>2020.0</v>
      </c>
      <c r="B65" s="42" t="s">
        <v>114</v>
      </c>
      <c r="C65" s="42" t="s">
        <v>115</v>
      </c>
      <c r="D65" s="42">
        <v>3.81396E7</v>
      </c>
      <c r="E65" s="43">
        <f t="shared" si="1"/>
        <v>0.3524798014</v>
      </c>
      <c r="F65" s="42">
        <v>1.915219E7</v>
      </c>
      <c r="G65" s="43">
        <f t="shared" si="2"/>
        <v>0.1503832918</v>
      </c>
      <c r="H65" s="42">
        <v>2.040261E7</v>
      </c>
      <c r="I65" s="43">
        <f t="shared" si="3"/>
        <v>0.1907619861</v>
      </c>
      <c r="J65" s="42">
        <v>1.284535E7</v>
      </c>
      <c r="K65" s="43">
        <f t="shared" si="4"/>
        <v>0.1008618867</v>
      </c>
      <c r="L65" s="42">
        <v>3.11553E7</v>
      </c>
      <c r="M65" s="44">
        <f t="shared" si="5"/>
        <v>0.244631897</v>
      </c>
      <c r="N65" s="42">
        <v>5660787.0</v>
      </c>
      <c r="O65" s="43">
        <f t="shared" si="6"/>
        <v>0.04444858699</v>
      </c>
      <c r="P65" s="45">
        <f>SUM(D65:N65)+Q65</f>
        <v>136339338</v>
      </c>
      <c r="Q65" s="42">
        <v>8983500.0</v>
      </c>
      <c r="R65" s="42"/>
      <c r="S65" s="42">
        <v>6.4760298E7</v>
      </c>
      <c r="T65" s="42">
        <v>7785600.0</v>
      </c>
      <c r="U65" s="42">
        <v>1.1505248E7</v>
      </c>
      <c r="V65" s="42">
        <v>2.6552432E7</v>
      </c>
      <c r="W65" s="45"/>
      <c r="X65" s="42">
        <v>1.2535745E7</v>
      </c>
      <c r="Y65" s="42">
        <v>2516800.0</v>
      </c>
      <c r="Z65" s="42">
        <v>7563814.0</v>
      </c>
      <c r="AA65" s="42">
        <v>3119400.0</v>
      </c>
      <c r="AB65" s="45"/>
      <c r="AC65" s="45"/>
      <c r="AD65" s="45"/>
      <c r="AE65" s="45"/>
      <c r="AF65" s="45"/>
      <c r="AG65" s="45"/>
      <c r="AH65" s="45"/>
    </row>
    <row r="66">
      <c r="A66" s="4">
        <v>2020.0</v>
      </c>
      <c r="B66" s="4" t="s">
        <v>116</v>
      </c>
      <c r="C66" s="4" t="s">
        <v>117</v>
      </c>
      <c r="D66" s="4">
        <v>5.0971203E7</v>
      </c>
      <c r="E66" s="47">
        <f t="shared" si="1"/>
        <v>0.4467069026</v>
      </c>
      <c r="F66" s="4">
        <v>1.4767275E7</v>
      </c>
      <c r="G66" s="47">
        <f t="shared" si="2"/>
        <v>0.1145890294</v>
      </c>
      <c r="H66" s="4">
        <v>2.5854942E7</v>
      </c>
      <c r="I66" s="47">
        <f t="shared" si="3"/>
        <v>0.250978191</v>
      </c>
      <c r="J66" s="4">
        <v>1.2591039E7</v>
      </c>
      <c r="K66" s="47">
        <f t="shared" si="4"/>
        <v>0.09770217852</v>
      </c>
      <c r="L66" s="4">
        <v>1.9511729E7</v>
      </c>
      <c r="M66" s="48">
        <f t="shared" si="5"/>
        <v>0.1514043781</v>
      </c>
      <c r="N66" s="4">
        <v>5175442.0</v>
      </c>
      <c r="O66" s="47">
        <f t="shared" si="6"/>
        <v>0.04015966897</v>
      </c>
      <c r="P66" s="6">
        <f t="shared" ref="P66:P70" si="21">SUM(D66:N66)</f>
        <v>128871631.1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>
      <c r="A67" s="4">
        <v>2020.0</v>
      </c>
      <c r="B67" s="4" t="s">
        <v>118</v>
      </c>
      <c r="C67" s="4" t="s">
        <v>119</v>
      </c>
      <c r="D67" s="4">
        <v>5.6289239E7</v>
      </c>
      <c r="E67" s="47">
        <f t="shared" si="1"/>
        <v>0.4201046222</v>
      </c>
      <c r="F67" s="4">
        <v>1.9541938E7</v>
      </c>
      <c r="G67" s="47">
        <f t="shared" si="2"/>
        <v>0.1272837025</v>
      </c>
      <c r="H67" s="4">
        <v>3.0242134E7</v>
      </c>
      <c r="I67" s="47">
        <f t="shared" si="3"/>
        <v>0.2452958094</v>
      </c>
      <c r="J67" s="4">
        <v>1.2564859E7</v>
      </c>
      <c r="K67" s="47">
        <f t="shared" si="4"/>
        <v>0.08183946624</v>
      </c>
      <c r="L67" s="4">
        <v>2.9467044E7</v>
      </c>
      <c r="M67" s="48">
        <f t="shared" si="5"/>
        <v>0.1919295038</v>
      </c>
      <c r="N67" s="4">
        <v>5425345.0</v>
      </c>
      <c r="O67" s="47">
        <f t="shared" si="6"/>
        <v>0.03533723211</v>
      </c>
      <c r="P67" s="6">
        <f t="shared" si="21"/>
        <v>153530560.1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>
      <c r="A68" s="4">
        <v>2020.0</v>
      </c>
      <c r="B68" s="4" t="s">
        <v>120</v>
      </c>
      <c r="C68" s="4" t="s">
        <v>121</v>
      </c>
      <c r="D68" s="4">
        <v>9622958.0</v>
      </c>
      <c r="E68" s="47">
        <f t="shared" si="1"/>
        <v>0.4157741684</v>
      </c>
      <c r="F68" s="4">
        <v>2551286.0</v>
      </c>
      <c r="G68" s="47">
        <f t="shared" si="2"/>
        <v>0.09928743276</v>
      </c>
      <c r="H68" s="4">
        <v>3969153.0</v>
      </c>
      <c r="I68" s="47">
        <f t="shared" si="3"/>
        <v>0.1826845895</v>
      </c>
      <c r="J68" s="4">
        <v>1923134.0</v>
      </c>
      <c r="K68" s="47">
        <f t="shared" si="4"/>
        <v>0.07484187885</v>
      </c>
      <c r="L68" s="4">
        <v>6992439.0</v>
      </c>
      <c r="M68" s="48">
        <f t="shared" si="5"/>
        <v>0.2721221051</v>
      </c>
      <c r="N68" s="4">
        <v>636991.0</v>
      </c>
      <c r="O68" s="47">
        <f t="shared" si="6"/>
        <v>0.02478953794</v>
      </c>
      <c r="P68" s="6">
        <f t="shared" si="21"/>
        <v>25695962.04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>
      <c r="A69" s="4">
        <v>2020.0</v>
      </c>
      <c r="B69" s="4" t="s">
        <v>122</v>
      </c>
      <c r="C69" s="4" t="s">
        <v>123</v>
      </c>
      <c r="D69" s="4">
        <v>1.6961505E7</v>
      </c>
      <c r="E69" s="47">
        <f t="shared" si="1"/>
        <v>0.4330434344</v>
      </c>
      <c r="F69" s="4">
        <v>3380696.0</v>
      </c>
      <c r="G69" s="47">
        <f t="shared" si="2"/>
        <v>0.07945449222</v>
      </c>
      <c r="H69" s="4">
        <v>7029184.0</v>
      </c>
      <c r="I69" s="47">
        <f t="shared" si="3"/>
        <v>0.1978956437</v>
      </c>
      <c r="J69" s="4">
        <v>3976739.0</v>
      </c>
      <c r="K69" s="47">
        <f t="shared" si="4"/>
        <v>0.0934629372</v>
      </c>
      <c r="L69" s="4">
        <v>9981183.0</v>
      </c>
      <c r="M69" s="48">
        <f t="shared" si="5"/>
        <v>0.2345818219</v>
      </c>
      <c r="N69" s="4">
        <v>1219527.0</v>
      </c>
      <c r="O69" s="47">
        <f t="shared" si="6"/>
        <v>0.0286618195</v>
      </c>
      <c r="P69" s="6">
        <f t="shared" si="21"/>
        <v>42548835.04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>
      <c r="A70" s="4">
        <v>2020.0</v>
      </c>
      <c r="B70" s="4" t="s">
        <v>124</v>
      </c>
      <c r="C70" s="4" t="s">
        <v>125</v>
      </c>
      <c r="D70" s="4">
        <v>8756125.0</v>
      </c>
      <c r="E70" s="47">
        <f t="shared" si="1"/>
        <v>0.3901676222</v>
      </c>
      <c r="F70" s="4">
        <v>1198940.0</v>
      </c>
      <c r="G70" s="47">
        <f t="shared" si="2"/>
        <v>0.05071465774</v>
      </c>
      <c r="H70" s="4">
        <v>2789143.0</v>
      </c>
      <c r="I70" s="47">
        <f t="shared" si="3"/>
        <v>0.133760594</v>
      </c>
      <c r="J70" s="4">
        <v>3065936.0</v>
      </c>
      <c r="K70" s="47">
        <f t="shared" si="4"/>
        <v>0.1296878033</v>
      </c>
      <c r="L70" s="4">
        <v>7083919.0</v>
      </c>
      <c r="M70" s="48">
        <f t="shared" si="5"/>
        <v>0.2996467943</v>
      </c>
      <c r="N70" s="4">
        <v>746834.0</v>
      </c>
      <c r="O70" s="47">
        <f t="shared" si="6"/>
        <v>0.03159076409</v>
      </c>
      <c r="P70" s="6">
        <f t="shared" si="21"/>
        <v>23640898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>
      <c r="A71" s="49">
        <v>2020.0</v>
      </c>
      <c r="B71" s="49" t="s">
        <v>126</v>
      </c>
      <c r="C71" s="49" t="s">
        <v>127</v>
      </c>
      <c r="D71" s="54">
        <f>SUM(D66:D70)</f>
        <v>142601030</v>
      </c>
      <c r="E71" s="51">
        <f t="shared" si="1"/>
        <v>0.4284272065</v>
      </c>
      <c r="F71" s="54">
        <f>SUM(F66:F70)</f>
        <v>41440135</v>
      </c>
      <c r="G71" s="51">
        <f t="shared" si="2"/>
        <v>0.110717277</v>
      </c>
      <c r="H71" s="54">
        <f>SUM(H66:H70)</f>
        <v>69884556</v>
      </c>
      <c r="I71" s="51">
        <f t="shared" si="3"/>
        <v>0.2295788195</v>
      </c>
      <c r="J71" s="54">
        <f>SUM(J66:J70)</f>
        <v>34121707</v>
      </c>
      <c r="K71" s="51">
        <f t="shared" si="4"/>
        <v>0.09116433829</v>
      </c>
      <c r="L71" s="54">
        <f>SUM(L66:L70)</f>
        <v>73036314</v>
      </c>
      <c r="M71" s="52">
        <f t="shared" si="5"/>
        <v>0.1951340605</v>
      </c>
      <c r="N71" s="54">
        <f>SUM(N66:N70)</f>
        <v>13204139</v>
      </c>
      <c r="O71" s="51">
        <f t="shared" si="6"/>
        <v>0.03527802975</v>
      </c>
      <c r="P71" s="53">
        <f>SUM(P66:P70)</f>
        <v>374287886.2</v>
      </c>
      <c r="Q71" s="54"/>
      <c r="R71" s="55">
        <f>Total!W29*1000000</f>
        <v>620025340</v>
      </c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</row>
    <row r="72">
      <c r="A72" s="56">
        <v>2020.0</v>
      </c>
      <c r="B72" s="56" t="s">
        <v>128</v>
      </c>
      <c r="C72" s="56" t="s">
        <v>129</v>
      </c>
      <c r="D72" s="56">
        <v>880.0</v>
      </c>
      <c r="E72" s="57">
        <f t="shared" si="1"/>
        <v>0.4148986327</v>
      </c>
      <c r="F72" s="56">
        <v>279.0</v>
      </c>
      <c r="G72" s="57">
        <f t="shared" si="2"/>
        <v>0.11625</v>
      </c>
      <c r="H72" s="56">
        <v>472.0</v>
      </c>
      <c r="I72" s="57">
        <f t="shared" si="3"/>
        <v>0.244813278</v>
      </c>
      <c r="J72" s="56">
        <v>226.0</v>
      </c>
      <c r="K72" s="57">
        <f t="shared" si="4"/>
        <v>0.09416666667</v>
      </c>
      <c r="L72" s="56">
        <v>420.0</v>
      </c>
      <c r="M72" s="58">
        <f t="shared" si="5"/>
        <v>0.175</v>
      </c>
      <c r="N72" s="56">
        <v>123.0</v>
      </c>
      <c r="O72" s="57">
        <f t="shared" si="6"/>
        <v>0.05125</v>
      </c>
      <c r="P72" s="59">
        <f t="shared" ref="P72:P73" si="22">SUM(D72:N72)</f>
        <v>2401.045129</v>
      </c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</row>
    <row r="73">
      <c r="A73" s="60">
        <v>2020.0</v>
      </c>
      <c r="B73" s="60" t="s">
        <v>130</v>
      </c>
      <c r="C73" s="60" t="s">
        <v>131</v>
      </c>
      <c r="D73" s="60">
        <v>805098.0</v>
      </c>
      <c r="E73" s="61">
        <f t="shared" si="1"/>
        <v>0.422661118</v>
      </c>
      <c r="F73" s="60">
        <v>321783.0</v>
      </c>
      <c r="G73" s="61">
        <f t="shared" si="2"/>
        <v>0.1445167416</v>
      </c>
      <c r="H73" s="60">
        <v>345525.0</v>
      </c>
      <c r="I73" s="61">
        <f t="shared" si="3"/>
        <v>0.183683494</v>
      </c>
      <c r="J73" s="60">
        <v>176496.0</v>
      </c>
      <c r="K73" s="61">
        <f t="shared" si="4"/>
        <v>0.07926654553</v>
      </c>
      <c r="L73" s="60">
        <v>504128.0</v>
      </c>
      <c r="M73" s="62">
        <f t="shared" si="5"/>
        <v>0.2264101456</v>
      </c>
      <c r="N73" s="60">
        <v>73584.0</v>
      </c>
      <c r="O73" s="61">
        <f t="shared" si="6"/>
        <v>0.03304748825</v>
      </c>
      <c r="P73" s="63">
        <f t="shared" si="22"/>
        <v>2226615.057</v>
      </c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</row>
    <row r="74">
      <c r="A74" s="42">
        <v>2021.0</v>
      </c>
      <c r="B74" s="42" t="s">
        <v>114</v>
      </c>
      <c r="C74" s="42" t="s">
        <v>115</v>
      </c>
      <c r="D74" s="42">
        <v>3.105509E7</v>
      </c>
      <c r="E74" s="43">
        <f t="shared" si="1"/>
        <v>0.2748456616</v>
      </c>
      <c r="F74" s="42">
        <v>2.0134371E7</v>
      </c>
      <c r="G74" s="43">
        <f t="shared" si="2"/>
        <v>0.151243664</v>
      </c>
      <c r="H74" s="42">
        <v>3.1858269E7</v>
      </c>
      <c r="I74" s="43">
        <f t="shared" si="3"/>
        <v>0.3145963888</v>
      </c>
      <c r="J74" s="42">
        <v>1.021345E7</v>
      </c>
      <c r="K74" s="43">
        <f t="shared" si="4"/>
        <v>0.0767205293</v>
      </c>
      <c r="L74" s="42">
        <v>3.5737415E7</v>
      </c>
      <c r="M74" s="44">
        <f t="shared" si="5"/>
        <v>0.2684492894</v>
      </c>
      <c r="N74" s="42">
        <v>4126790.0</v>
      </c>
      <c r="O74" s="43">
        <f t="shared" si="6"/>
        <v>0.03099927185</v>
      </c>
      <c r="P74" s="45">
        <f>SUM(D74:N74)+Q74</f>
        <v>143794386.1</v>
      </c>
      <c r="Q74" s="42">
        <v>1.0669E7</v>
      </c>
      <c r="R74" s="42"/>
      <c r="S74" s="42">
        <v>6.1334695E7</v>
      </c>
      <c r="T74" s="42">
        <v>1.26455E7</v>
      </c>
      <c r="U74" s="42">
        <v>1.1157007E7</v>
      </c>
      <c r="V74" s="42">
        <v>2.8448659E7</v>
      </c>
      <c r="W74" s="45"/>
      <c r="X74" s="42">
        <v>9908400.0</v>
      </c>
      <c r="Y74" s="42">
        <v>2412000.0</v>
      </c>
      <c r="Z74" s="42">
        <v>1.3678624E7</v>
      </c>
      <c r="AA74" s="42">
        <v>4209500.0</v>
      </c>
      <c r="AB74" s="45"/>
      <c r="AC74" s="45"/>
      <c r="AD74" s="45"/>
      <c r="AE74" s="45"/>
      <c r="AF74" s="45"/>
      <c r="AG74" s="45"/>
      <c r="AH74" s="45"/>
    </row>
    <row r="75">
      <c r="A75" s="4">
        <v>2021.0</v>
      </c>
      <c r="B75" s="4" t="s">
        <v>116</v>
      </c>
      <c r="C75" s="4" t="s">
        <v>117</v>
      </c>
      <c r="D75" s="4">
        <v>5.4124929E7</v>
      </c>
      <c r="E75" s="47">
        <f t="shared" si="1"/>
        <v>0.4428502025</v>
      </c>
      <c r="F75" s="4">
        <v>1.6056759E7</v>
      </c>
      <c r="G75" s="47">
        <f t="shared" si="2"/>
        <v>0.1161208689</v>
      </c>
      <c r="H75" s="4">
        <v>2.7640692E7</v>
      </c>
      <c r="I75" s="47">
        <f t="shared" si="3"/>
        <v>0.249835505</v>
      </c>
      <c r="J75" s="4">
        <v>1.3226311E7</v>
      </c>
      <c r="K75" s="47">
        <f t="shared" si="4"/>
        <v>0.09565135319</v>
      </c>
      <c r="L75" s="4">
        <v>2.1637615E7</v>
      </c>
      <c r="M75" s="48">
        <f t="shared" si="5"/>
        <v>0.1564810592</v>
      </c>
      <c r="N75" s="4">
        <v>5589950.0</v>
      </c>
      <c r="O75" s="47">
        <f t="shared" si="6"/>
        <v>0.04042595715</v>
      </c>
      <c r="P75" s="6">
        <f t="shared" ref="P75:P79" si="23">SUM(D75:N75)</f>
        <v>138276257.1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4">
        <v>2021.0</v>
      </c>
      <c r="B76" s="4" t="s">
        <v>118</v>
      </c>
      <c r="C76" s="4" t="s">
        <v>119</v>
      </c>
      <c r="D76" s="4">
        <v>5.8035612E7</v>
      </c>
      <c r="E76" s="47">
        <f t="shared" si="1"/>
        <v>0.42053349</v>
      </c>
      <c r="F76" s="4">
        <v>2.0254762E7</v>
      </c>
      <c r="G76" s="47">
        <f t="shared" si="2"/>
        <v>0.1279844979</v>
      </c>
      <c r="H76" s="4">
        <v>3.096342E7</v>
      </c>
      <c r="I76" s="47">
        <f t="shared" si="3"/>
        <v>0.2432393929</v>
      </c>
      <c r="J76" s="4">
        <v>1.2626337E7</v>
      </c>
      <c r="K76" s="47">
        <f t="shared" si="4"/>
        <v>0.07978249267</v>
      </c>
      <c r="L76" s="4">
        <v>3.0800901E7</v>
      </c>
      <c r="M76" s="48">
        <f t="shared" si="5"/>
        <v>0.1946227681</v>
      </c>
      <c r="N76" s="4">
        <v>5578463.0</v>
      </c>
      <c r="O76" s="47">
        <f t="shared" si="6"/>
        <v>0.0352488361</v>
      </c>
      <c r="P76" s="6">
        <f t="shared" si="23"/>
        <v>158259496.1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4">
        <v>2021.0</v>
      </c>
      <c r="B77" s="4" t="s">
        <v>120</v>
      </c>
      <c r="C77" s="4" t="s">
        <v>121</v>
      </c>
      <c r="D77" s="4">
        <v>1.4821534E7</v>
      </c>
      <c r="E77" s="47">
        <f t="shared" si="1"/>
        <v>0.4238104797</v>
      </c>
      <c r="F77" s="4">
        <v>3583409.0</v>
      </c>
      <c r="G77" s="47">
        <f t="shared" si="2"/>
        <v>0.09294160424</v>
      </c>
      <c r="H77" s="4">
        <v>5812414.0</v>
      </c>
      <c r="I77" s="47">
        <f t="shared" si="3"/>
        <v>0.1775158259</v>
      </c>
      <c r="J77" s="4">
        <v>2887357.0</v>
      </c>
      <c r="K77" s="47">
        <f t="shared" si="4"/>
        <v>0.07488835118</v>
      </c>
      <c r="L77" s="4">
        <v>1.0490029E7</v>
      </c>
      <c r="M77" s="48">
        <f t="shared" si="5"/>
        <v>0.2720761498</v>
      </c>
      <c r="N77" s="4">
        <v>960746.0</v>
      </c>
      <c r="O77" s="47">
        <f t="shared" si="6"/>
        <v>0.02491852716</v>
      </c>
      <c r="P77" s="6">
        <f t="shared" si="23"/>
        <v>38555490.04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4">
        <v>2021.0</v>
      </c>
      <c r="B78" s="4" t="s">
        <v>122</v>
      </c>
      <c r="C78" s="4" t="s">
        <v>123</v>
      </c>
      <c r="D78" s="4">
        <v>1.4367364E7</v>
      </c>
      <c r="E78" s="47">
        <f t="shared" si="1"/>
        <v>0.4392447994</v>
      </c>
      <c r="F78" s="4">
        <v>2844365.0</v>
      </c>
      <c r="G78" s="47">
        <f t="shared" si="2"/>
        <v>0.08000215224</v>
      </c>
      <c r="H78" s="4">
        <v>5389082.0</v>
      </c>
      <c r="I78" s="47">
        <f t="shared" si="3"/>
        <v>0.1786562917</v>
      </c>
      <c r="J78" s="4">
        <v>3372023.0</v>
      </c>
      <c r="K78" s="47">
        <f t="shared" si="4"/>
        <v>0.09484334725</v>
      </c>
      <c r="L78" s="4">
        <v>8577656.0</v>
      </c>
      <c r="M78" s="48">
        <f t="shared" si="5"/>
        <v>0.2412598036</v>
      </c>
      <c r="N78" s="4">
        <v>1003116.0</v>
      </c>
      <c r="O78" s="47">
        <f t="shared" si="6"/>
        <v>0.02821418452</v>
      </c>
      <c r="P78" s="6">
        <f t="shared" si="23"/>
        <v>35553607.03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>
      <c r="A79" s="4">
        <v>2021.0</v>
      </c>
      <c r="B79" s="4" t="s">
        <v>124</v>
      </c>
      <c r="C79" s="4" t="s">
        <v>125</v>
      </c>
      <c r="D79" s="4">
        <v>9650682.0</v>
      </c>
      <c r="E79" s="47">
        <f t="shared" si="1"/>
        <v>0.3815758165</v>
      </c>
      <c r="F79" s="4">
        <v>1054765.0</v>
      </c>
      <c r="G79" s="47">
        <f t="shared" si="2"/>
        <v>0.04003447907</v>
      </c>
      <c r="H79" s="4">
        <v>3134927.0</v>
      </c>
      <c r="I79" s="47">
        <f t="shared" si="3"/>
        <v>0.1350592862</v>
      </c>
      <c r="J79" s="4">
        <v>3382301.0</v>
      </c>
      <c r="K79" s="47">
        <f t="shared" si="4"/>
        <v>0.1283780355</v>
      </c>
      <c r="L79" s="4">
        <v>8451085.0</v>
      </c>
      <c r="M79" s="48">
        <f t="shared" si="5"/>
        <v>0.3207679299</v>
      </c>
      <c r="N79" s="4">
        <v>672655.0</v>
      </c>
      <c r="O79" s="47">
        <f t="shared" si="6"/>
        <v>0.02553117758</v>
      </c>
      <c r="P79" s="6">
        <f t="shared" si="23"/>
        <v>26346416.01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>
      <c r="A80" s="49">
        <v>2021.0</v>
      </c>
      <c r="B80" s="49" t="s">
        <v>126</v>
      </c>
      <c r="C80" s="49" t="s">
        <v>127</v>
      </c>
      <c r="D80" s="54">
        <f>SUM(D75:D79)</f>
        <v>151000121</v>
      </c>
      <c r="E80" s="51">
        <f t="shared" si="1"/>
        <v>0.4275235494</v>
      </c>
      <c r="F80" s="54">
        <f>SUM(F75:F79)</f>
        <v>43794060</v>
      </c>
      <c r="G80" s="51">
        <f t="shared" si="2"/>
        <v>0.110314922</v>
      </c>
      <c r="H80" s="54">
        <f>SUM(H75:H79)</f>
        <v>72940535</v>
      </c>
      <c r="I80" s="51">
        <f t="shared" si="3"/>
        <v>0.2250898676</v>
      </c>
      <c r="J80" s="54">
        <f>SUM(J75:J79)</f>
        <v>35494329</v>
      </c>
      <c r="K80" s="51">
        <f t="shared" si="4"/>
        <v>0.08940833839</v>
      </c>
      <c r="L80" s="54">
        <f>SUM(L75:L79)</f>
        <v>79957286</v>
      </c>
      <c r="M80" s="52">
        <f t="shared" si="5"/>
        <v>0.2014081766</v>
      </c>
      <c r="N80" s="54">
        <f>SUM(N75:N79)</f>
        <v>13804930</v>
      </c>
      <c r="O80" s="51">
        <f t="shared" si="6"/>
        <v>0.03477388889</v>
      </c>
      <c r="P80" s="53">
        <f>SUM(P75:P79)</f>
        <v>396991266.2</v>
      </c>
      <c r="Q80" s="54"/>
      <c r="R80" s="55">
        <f>Total!X29*1000000</f>
        <v>699493234</v>
      </c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</row>
    <row r="81">
      <c r="A81" s="56">
        <v>2021.0</v>
      </c>
      <c r="B81" s="56" t="s">
        <v>128</v>
      </c>
      <c r="C81" s="56" t="s">
        <v>129</v>
      </c>
      <c r="D81" s="56">
        <v>876.0</v>
      </c>
      <c r="E81" s="57">
        <f t="shared" si="1"/>
        <v>0.4137931034</v>
      </c>
      <c r="F81" s="56">
        <v>283.0</v>
      </c>
      <c r="G81" s="57">
        <f t="shared" si="2"/>
        <v>0.1179166667</v>
      </c>
      <c r="H81" s="56">
        <v>475.0</v>
      </c>
      <c r="I81" s="57">
        <f t="shared" si="3"/>
        <v>0.2467532468</v>
      </c>
      <c r="J81" s="56">
        <v>222.0</v>
      </c>
      <c r="K81" s="57">
        <f t="shared" si="4"/>
        <v>0.0925</v>
      </c>
      <c r="L81" s="56">
        <v>424.0</v>
      </c>
      <c r="M81" s="58">
        <f t="shared" si="5"/>
        <v>0.1766666667</v>
      </c>
      <c r="N81" s="56">
        <v>120.0</v>
      </c>
      <c r="O81" s="57">
        <f t="shared" si="6"/>
        <v>0.05</v>
      </c>
      <c r="P81" s="59">
        <f t="shared" ref="P81:P82" si="24">SUM(D81:N81)</f>
        <v>2401.04763</v>
      </c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</row>
    <row r="82">
      <c r="A82" s="60">
        <v>2021.0</v>
      </c>
      <c r="B82" s="60" t="s">
        <v>130</v>
      </c>
      <c r="C82" s="60" t="s">
        <v>131</v>
      </c>
      <c r="D82" s="60">
        <v>814762.0</v>
      </c>
      <c r="E82" s="61">
        <f t="shared" si="1"/>
        <v>0.4245296635</v>
      </c>
      <c r="F82" s="60">
        <v>325496.0</v>
      </c>
      <c r="G82" s="61">
        <f t="shared" si="2"/>
        <v>0.1450060075</v>
      </c>
      <c r="H82" s="60">
        <v>348503.0</v>
      </c>
      <c r="I82" s="61">
        <f t="shared" si="3"/>
        <v>0.1837898243</v>
      </c>
      <c r="J82" s="60">
        <v>175894.0</v>
      </c>
      <c r="K82" s="61">
        <f t="shared" si="4"/>
        <v>0.07835944736</v>
      </c>
      <c r="L82" s="60">
        <v>506343.0</v>
      </c>
      <c r="M82" s="62">
        <f t="shared" si="5"/>
        <v>0.2255719789</v>
      </c>
      <c r="N82" s="60">
        <v>73709.0</v>
      </c>
      <c r="O82" s="61">
        <f t="shared" si="6"/>
        <v>0.03283680231</v>
      </c>
      <c r="P82" s="63">
        <f t="shared" si="24"/>
        <v>2244708.057</v>
      </c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</row>
    <row r="83">
      <c r="A83" s="42">
        <v>2022.0</v>
      </c>
      <c r="B83" s="42" t="s">
        <v>114</v>
      </c>
      <c r="C83" s="42" t="s">
        <v>115</v>
      </c>
      <c r="D83" s="42">
        <v>3.21045E7</v>
      </c>
      <c r="E83" s="43">
        <f t="shared" si="1"/>
        <v>0.2833302027</v>
      </c>
      <c r="F83" s="42">
        <v>2.2557977E7</v>
      </c>
      <c r="G83" s="43">
        <f t="shared" si="2"/>
        <v>0.1660271216</v>
      </c>
      <c r="H83" s="42">
        <v>3.0190866E7</v>
      </c>
      <c r="I83" s="43">
        <f t="shared" si="3"/>
        <v>0.2856863519</v>
      </c>
      <c r="J83" s="42">
        <v>1.16503E7</v>
      </c>
      <c r="K83" s="43">
        <f t="shared" si="4"/>
        <v>0.08574642018</v>
      </c>
      <c r="L83" s="42">
        <v>3.5208336E7</v>
      </c>
      <c r="M83" s="44">
        <f t="shared" si="5"/>
        <v>0.2591339942</v>
      </c>
      <c r="N83" s="42">
        <v>4157250.0</v>
      </c>
      <c r="O83" s="43">
        <f t="shared" si="6"/>
        <v>0.03059743572</v>
      </c>
      <c r="P83" s="45">
        <f>SUM(D83:N83)+Q83</f>
        <v>145649030.1</v>
      </c>
      <c r="Q83" s="42">
        <v>9779800.0</v>
      </c>
      <c r="R83" s="42"/>
      <c r="S83" s="42">
        <v>7.2377287E7</v>
      </c>
      <c r="T83" s="42">
        <v>1.02994E7</v>
      </c>
      <c r="U83" s="42">
        <v>1.1024027E7</v>
      </c>
      <c r="V83" s="42">
        <v>2.6888531E7</v>
      </c>
      <c r="W83" s="45"/>
      <c r="X83" s="42">
        <v>8258200.0</v>
      </c>
      <c r="Y83" s="42">
        <v>3984450.0</v>
      </c>
      <c r="Z83" s="42">
        <v>1.0827134E7</v>
      </c>
      <c r="AA83" s="42">
        <v>1990000.0</v>
      </c>
      <c r="AB83" s="45"/>
      <c r="AC83" s="45"/>
      <c r="AD83" s="45"/>
      <c r="AE83" s="45"/>
      <c r="AF83" s="45"/>
      <c r="AG83" s="45"/>
      <c r="AH83" s="45"/>
    </row>
    <row r="84">
      <c r="A84" s="4">
        <v>2022.0</v>
      </c>
      <c r="B84" s="4" t="s">
        <v>116</v>
      </c>
      <c r="C84" s="4" t="s">
        <v>117</v>
      </c>
      <c r="D84" s="4">
        <v>5.2237984E7</v>
      </c>
      <c r="E84" s="47">
        <f t="shared" si="1"/>
        <v>0.4369483936</v>
      </c>
      <c r="F84" s="4">
        <v>1.5922699E7</v>
      </c>
      <c r="G84" s="47">
        <f t="shared" si="2"/>
        <v>0.1175327795</v>
      </c>
      <c r="H84" s="4">
        <v>2.7782279E7</v>
      </c>
      <c r="I84" s="47">
        <f t="shared" si="3"/>
        <v>0.2579784216</v>
      </c>
      <c r="J84" s="4">
        <v>1.2516461E7</v>
      </c>
      <c r="K84" s="47">
        <f t="shared" si="4"/>
        <v>0.092389767</v>
      </c>
      <c r="L84" s="4">
        <v>2.1707837E7</v>
      </c>
      <c r="M84" s="48">
        <f t="shared" si="5"/>
        <v>0.1602355492</v>
      </c>
      <c r="N84" s="4">
        <v>5307278.0</v>
      </c>
      <c r="O84" s="47">
        <f t="shared" si="6"/>
        <v>0.03917546484</v>
      </c>
      <c r="P84" s="6">
        <f t="shared" ref="P84:P88" si="25">SUM(D84:N84)</f>
        <v>135474539.1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>
      <c r="A85" s="4">
        <v>2022.0</v>
      </c>
      <c r="B85" s="4" t="s">
        <v>118</v>
      </c>
      <c r="C85" s="4" t="s">
        <v>119</v>
      </c>
      <c r="D85" s="4">
        <v>6.1282981E7</v>
      </c>
      <c r="E85" s="47">
        <f t="shared" si="1"/>
        <v>0.4223580412</v>
      </c>
      <c r="F85" s="4">
        <v>2.1162231E7</v>
      </c>
      <c r="G85" s="47">
        <f t="shared" si="2"/>
        <v>0.127284373</v>
      </c>
      <c r="H85" s="4">
        <v>3.3088779E7</v>
      </c>
      <c r="I85" s="47">
        <f t="shared" si="3"/>
        <v>0.2484689498</v>
      </c>
      <c r="J85" s="4">
        <v>1.3253559E7</v>
      </c>
      <c r="K85" s="47">
        <f t="shared" si="4"/>
        <v>0.07971612009</v>
      </c>
      <c r="L85" s="4">
        <v>3.1463027E7</v>
      </c>
      <c r="M85" s="48">
        <f t="shared" si="5"/>
        <v>0.1892405232</v>
      </c>
      <c r="N85" s="4">
        <v>6008882.0</v>
      </c>
      <c r="O85" s="47">
        <f t="shared" si="6"/>
        <v>0.03614159481</v>
      </c>
      <c r="P85" s="6">
        <f t="shared" si="25"/>
        <v>166259460.1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>
      <c r="A86" s="4">
        <v>2022.0</v>
      </c>
      <c r="B86" s="4" t="s">
        <v>120</v>
      </c>
      <c r="C86" s="4" t="s">
        <v>121</v>
      </c>
      <c r="D86" s="4">
        <v>1.5669663E7</v>
      </c>
      <c r="E86" s="47">
        <f t="shared" si="1"/>
        <v>0.4187141123</v>
      </c>
      <c r="F86" s="4">
        <v>4008590.0</v>
      </c>
      <c r="G86" s="47">
        <f t="shared" si="2"/>
        <v>0.09675132352</v>
      </c>
      <c r="H86" s="4">
        <v>5887695.0</v>
      </c>
      <c r="I86" s="47">
        <f t="shared" si="3"/>
        <v>0.1656443572</v>
      </c>
      <c r="J86" s="4">
        <v>3407728.0</v>
      </c>
      <c r="K86" s="47">
        <f t="shared" si="4"/>
        <v>0.082248919</v>
      </c>
      <c r="L86" s="4">
        <v>1.1586558E7</v>
      </c>
      <c r="M86" s="48">
        <f t="shared" si="5"/>
        <v>0.2796531502</v>
      </c>
      <c r="N86" s="4">
        <v>871654.0</v>
      </c>
      <c r="O86" s="47">
        <f t="shared" si="6"/>
        <v>0.02103823992</v>
      </c>
      <c r="P86" s="6">
        <f t="shared" si="25"/>
        <v>41431889.04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>
      <c r="A87" s="4">
        <v>2022.0</v>
      </c>
      <c r="B87" s="4" t="s">
        <v>122</v>
      </c>
      <c r="C87" s="4" t="s">
        <v>123</v>
      </c>
      <c r="D87" s="4">
        <v>2.5836818E7</v>
      </c>
      <c r="E87" s="47">
        <f t="shared" si="1"/>
        <v>0.4476105472</v>
      </c>
      <c r="F87" s="4">
        <v>4860112.0</v>
      </c>
      <c r="G87" s="47">
        <f t="shared" si="2"/>
        <v>0.07766020127</v>
      </c>
      <c r="H87" s="4">
        <v>9786546.0</v>
      </c>
      <c r="I87" s="47">
        <f t="shared" si="3"/>
        <v>0.185368056</v>
      </c>
      <c r="J87" s="4">
        <v>5841766.0</v>
      </c>
      <c r="K87" s="47">
        <f t="shared" si="4"/>
        <v>0.0933461458</v>
      </c>
      <c r="L87" s="4">
        <v>1.4340189E7</v>
      </c>
      <c r="M87" s="48">
        <f t="shared" si="5"/>
        <v>0.2291432716</v>
      </c>
      <c r="N87" s="4">
        <v>1916328.0</v>
      </c>
      <c r="O87" s="47">
        <f t="shared" si="6"/>
        <v>0.03062119107</v>
      </c>
      <c r="P87" s="6">
        <f t="shared" si="25"/>
        <v>62581760.03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4">
        <v>2022.0</v>
      </c>
      <c r="B88" s="4" t="s">
        <v>124</v>
      </c>
      <c r="C88" s="4" t="s">
        <v>125</v>
      </c>
      <c r="D88" s="4">
        <v>1.0694566E7</v>
      </c>
      <c r="E88" s="47">
        <f t="shared" si="1"/>
        <v>0.3783982479</v>
      </c>
      <c r="F88" s="4">
        <v>1473772.0</v>
      </c>
      <c r="G88" s="47">
        <f t="shared" si="2"/>
        <v>0.04956104784</v>
      </c>
      <c r="H88" s="4">
        <v>3391347.0</v>
      </c>
      <c r="I88" s="47">
        <f t="shared" si="3"/>
        <v>0.1287275598</v>
      </c>
      <c r="J88" s="4">
        <v>3853010.0</v>
      </c>
      <c r="K88" s="47">
        <f t="shared" si="4"/>
        <v>0.1295717472</v>
      </c>
      <c r="L88" s="4">
        <v>9550376.0</v>
      </c>
      <c r="M88" s="48">
        <f t="shared" si="5"/>
        <v>0.3211668032</v>
      </c>
      <c r="N88" s="4">
        <v>773427.0</v>
      </c>
      <c r="O88" s="47">
        <f t="shared" si="6"/>
        <v>0.02600935053</v>
      </c>
      <c r="P88" s="6">
        <f t="shared" si="25"/>
        <v>29736499.01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49">
        <v>2022.0</v>
      </c>
      <c r="B89" s="49" t="s">
        <v>126</v>
      </c>
      <c r="C89" s="49" t="s">
        <v>127</v>
      </c>
      <c r="D89" s="54">
        <f>SUM(D84:D88)</f>
        <v>165722012</v>
      </c>
      <c r="E89" s="51">
        <f t="shared" si="1"/>
        <v>0.4270561384</v>
      </c>
      <c r="F89" s="54">
        <f>SUM(F84:F88)</f>
        <v>47427404</v>
      </c>
      <c r="G89" s="51">
        <f t="shared" si="2"/>
        <v>0.1089073044</v>
      </c>
      <c r="H89" s="54">
        <f>SUM(H84:H88)</f>
        <v>79936646</v>
      </c>
      <c r="I89" s="51">
        <f t="shared" si="3"/>
        <v>0.2248269131</v>
      </c>
      <c r="J89" s="54">
        <f>SUM(J84:J88)</f>
        <v>38872524</v>
      </c>
      <c r="K89" s="51">
        <f t="shared" si="4"/>
        <v>0.08926277733</v>
      </c>
      <c r="L89" s="54">
        <f>SUM(L84:L88)</f>
        <v>88647987</v>
      </c>
      <c r="M89" s="52">
        <f t="shared" si="5"/>
        <v>0.2035619175</v>
      </c>
      <c r="N89" s="54">
        <f>SUM(N84:N88)</f>
        <v>14877569</v>
      </c>
      <c r="O89" s="51">
        <f t="shared" si="6"/>
        <v>0.03416328533</v>
      </c>
      <c r="P89" s="53">
        <f>SUM(P84:P88)</f>
        <v>435484147.2</v>
      </c>
      <c r="Q89" s="54"/>
      <c r="R89" s="55">
        <f>Total!Y29*1000000</f>
        <v>736542402</v>
      </c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</row>
    <row r="90">
      <c r="A90" s="56">
        <v>2022.0</v>
      </c>
      <c r="B90" s="56" t="s">
        <v>128</v>
      </c>
      <c r="C90" s="56" t="s">
        <v>129</v>
      </c>
      <c r="D90" s="56">
        <v>886.0</v>
      </c>
      <c r="E90" s="57">
        <f t="shared" si="1"/>
        <v>0.4179245283</v>
      </c>
      <c r="F90" s="56">
        <v>280.0</v>
      </c>
      <c r="G90" s="57">
        <f t="shared" si="2"/>
        <v>0.1166666667</v>
      </c>
      <c r="H90" s="56">
        <v>484.0</v>
      </c>
      <c r="I90" s="57">
        <f t="shared" si="3"/>
        <v>0.2526096033</v>
      </c>
      <c r="J90" s="56">
        <v>207.0</v>
      </c>
      <c r="K90" s="57">
        <f t="shared" si="4"/>
        <v>0.08625</v>
      </c>
      <c r="L90" s="56">
        <v>427.0</v>
      </c>
      <c r="M90" s="58">
        <f t="shared" si="5"/>
        <v>0.1779166667</v>
      </c>
      <c r="N90" s="56">
        <v>116.0</v>
      </c>
      <c r="O90" s="57">
        <f t="shared" si="6"/>
        <v>0.04833333333</v>
      </c>
      <c r="P90" s="59">
        <f t="shared" ref="P90:P91" si="26">SUM(D90:N90)</f>
        <v>2401.051367</v>
      </c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</row>
    <row r="91">
      <c r="A91" s="60">
        <v>2022.0</v>
      </c>
      <c r="B91" s="60" t="s">
        <v>130</v>
      </c>
      <c r="C91" s="60" t="s">
        <v>131</v>
      </c>
      <c r="D91" s="60">
        <v>822968.0</v>
      </c>
      <c r="E91" s="61">
        <f t="shared" si="1"/>
        <v>0.4251770391</v>
      </c>
      <c r="F91" s="60">
        <v>329809.0</v>
      </c>
      <c r="G91" s="61">
        <f t="shared" si="2"/>
        <v>0.1455854556</v>
      </c>
      <c r="H91" s="60">
        <v>353209.0</v>
      </c>
      <c r="I91" s="61">
        <f t="shared" si="3"/>
        <v>0.1847144817</v>
      </c>
      <c r="J91" s="60">
        <v>176166.0</v>
      </c>
      <c r="K91" s="61">
        <f t="shared" si="4"/>
        <v>0.07776381898</v>
      </c>
      <c r="L91" s="60">
        <v>509448.0</v>
      </c>
      <c r="M91" s="62">
        <f t="shared" si="5"/>
        <v>0.2248823386</v>
      </c>
      <c r="N91" s="60">
        <v>73798.0</v>
      </c>
      <c r="O91" s="61">
        <f t="shared" si="6"/>
        <v>0.03257617425</v>
      </c>
      <c r="P91" s="63">
        <f t="shared" si="26"/>
        <v>2265399.058</v>
      </c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</row>
    <row r="92">
      <c r="A92" s="42">
        <v>2023.0</v>
      </c>
      <c r="B92" s="42" t="s">
        <v>114</v>
      </c>
      <c r="C92" s="42" t="s">
        <v>115</v>
      </c>
      <c r="D92" s="42">
        <v>6.2644138E7</v>
      </c>
      <c r="E92" s="43">
        <f t="shared" si="1"/>
        <v>0.3589283735</v>
      </c>
      <c r="F92" s="42">
        <v>2.7037002E7</v>
      </c>
      <c r="G92" s="43">
        <f t="shared" si="2"/>
        <v>0.1341333841</v>
      </c>
      <c r="H92" s="42">
        <v>3.4858894E7</v>
      </c>
      <c r="I92" s="43">
        <f t="shared" si="3"/>
        <v>0.209100082</v>
      </c>
      <c r="J92" s="42">
        <v>1.6838496E7</v>
      </c>
      <c r="K92" s="43">
        <f t="shared" si="4"/>
        <v>0.08353753321</v>
      </c>
      <c r="L92" s="42">
        <v>5.3014828E7</v>
      </c>
      <c r="M92" s="44">
        <f t="shared" si="5"/>
        <v>0.2630120858</v>
      </c>
      <c r="N92" s="42">
        <v>7174672.0</v>
      </c>
      <c r="O92" s="43">
        <f t="shared" si="6"/>
        <v>0.03559429539</v>
      </c>
      <c r="P92" s="45">
        <f>SUM(D92:N92)+Q92</f>
        <v>213023529</v>
      </c>
      <c r="Q92" s="42">
        <v>1.1455498E7</v>
      </c>
      <c r="R92" s="42"/>
      <c r="S92" s="42">
        <v>7.5884145E7</v>
      </c>
      <c r="T92" s="42">
        <v>1.3483031E7</v>
      </c>
      <c r="U92" s="42">
        <v>1.3784508E7</v>
      </c>
      <c r="V92" s="42">
        <v>3.3194459E7</v>
      </c>
      <c r="W92" s="42">
        <v>3.7980988E7</v>
      </c>
      <c r="X92" s="42">
        <v>1.5632E7</v>
      </c>
      <c r="Y92" s="42">
        <v>5752460.0</v>
      </c>
      <c r="Z92" s="42">
        <v>8582524.0</v>
      </c>
      <c r="AA92" s="42">
        <v>8729413.0</v>
      </c>
      <c r="AB92" s="45"/>
      <c r="AC92" s="45"/>
      <c r="AD92" s="45"/>
      <c r="AE92" s="45"/>
      <c r="AF92" s="45"/>
      <c r="AG92" s="45"/>
      <c r="AH92" s="45"/>
    </row>
    <row r="93">
      <c r="A93" s="4">
        <v>2023.0</v>
      </c>
      <c r="B93" s="4" t="s">
        <v>116</v>
      </c>
      <c r="C93" s="4" t="s">
        <v>117</v>
      </c>
      <c r="D93" s="4">
        <v>5.179869E7</v>
      </c>
      <c r="E93" s="47">
        <f t="shared" si="1"/>
        <v>0.4346230009</v>
      </c>
      <c r="F93" s="4">
        <v>1.6098077E7</v>
      </c>
      <c r="G93" s="47">
        <f t="shared" si="2"/>
        <v>0.1189992461</v>
      </c>
      <c r="H93" s="4">
        <v>2.7899521E7</v>
      </c>
      <c r="I93" s="47">
        <f t="shared" si="3"/>
        <v>0.2598221683</v>
      </c>
      <c r="J93" s="4">
        <v>1.2056057E7</v>
      </c>
      <c r="K93" s="47">
        <f t="shared" si="4"/>
        <v>0.08912006658</v>
      </c>
      <c r="L93" s="4">
        <v>2.2115228E7</v>
      </c>
      <c r="M93" s="48">
        <f t="shared" si="5"/>
        <v>0.1634788714</v>
      </c>
      <c r="N93" s="4">
        <v>5311242.0</v>
      </c>
      <c r="O93" s="47">
        <f t="shared" si="6"/>
        <v>0.03926144681</v>
      </c>
      <c r="P93" s="6">
        <f t="shared" ref="P93:P97" si="27">SUM(D93:N93)</f>
        <v>135278816.1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>
      <c r="A94" s="4">
        <v>2023.0</v>
      </c>
      <c r="B94" s="4" t="s">
        <v>118</v>
      </c>
      <c r="C94" s="4" t="s">
        <v>119</v>
      </c>
      <c r="D94" s="4">
        <v>5.5834811E7</v>
      </c>
      <c r="E94" s="47">
        <f t="shared" si="1"/>
        <v>0.4198382394</v>
      </c>
      <c r="F94" s="4">
        <v>1.9321903E7</v>
      </c>
      <c r="G94" s="47">
        <f t="shared" si="2"/>
        <v>0.1268564336</v>
      </c>
      <c r="H94" s="4">
        <v>3.1136909E7</v>
      </c>
      <c r="I94" s="47">
        <f t="shared" si="3"/>
        <v>0.2569555611</v>
      </c>
      <c r="J94" s="4">
        <v>1.1961287E7</v>
      </c>
      <c r="K94" s="47">
        <f t="shared" si="4"/>
        <v>0.0785308885</v>
      </c>
      <c r="L94" s="4">
        <v>2.8681258E7</v>
      </c>
      <c r="M94" s="48">
        <f t="shared" si="5"/>
        <v>0.1883045423</v>
      </c>
      <c r="N94" s="4">
        <v>5376982.0</v>
      </c>
      <c r="O94" s="47">
        <f t="shared" si="6"/>
        <v>0.03530215218</v>
      </c>
      <c r="P94" s="6">
        <f t="shared" si="27"/>
        <v>152313151.1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>
      <c r="A95" s="4">
        <v>2023.0</v>
      </c>
      <c r="B95" s="4" t="s">
        <v>120</v>
      </c>
      <c r="C95" s="4" t="s">
        <v>121</v>
      </c>
      <c r="D95" s="4">
        <v>1.6356736E7</v>
      </c>
      <c r="E95" s="47">
        <f t="shared" si="1"/>
        <v>0.4109170905</v>
      </c>
      <c r="F95" s="4">
        <v>4179408.0</v>
      </c>
      <c r="G95" s="47">
        <f t="shared" si="2"/>
        <v>0.09501926447</v>
      </c>
      <c r="H95" s="4">
        <v>5495582.0</v>
      </c>
      <c r="I95" s="47">
        <f t="shared" si="3"/>
        <v>0.1427821943</v>
      </c>
      <c r="J95" s="4">
        <v>2921415.0</v>
      </c>
      <c r="K95" s="47">
        <f t="shared" si="4"/>
        <v>0.06641866612</v>
      </c>
      <c r="L95" s="4">
        <v>1.405673E7</v>
      </c>
      <c r="M95" s="48">
        <f t="shared" si="5"/>
        <v>0.3195811812</v>
      </c>
      <c r="N95" s="4">
        <v>974978.0</v>
      </c>
      <c r="O95" s="47">
        <f t="shared" si="6"/>
        <v>0.02216622365</v>
      </c>
      <c r="P95" s="6">
        <f t="shared" si="27"/>
        <v>43984850.03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>
      <c r="A96" s="4">
        <v>2023.0</v>
      </c>
      <c r="B96" s="4" t="s">
        <v>122</v>
      </c>
      <c r="C96" s="4" t="s">
        <v>123</v>
      </c>
      <c r="D96" s="4">
        <v>2.4542956E7</v>
      </c>
      <c r="E96" s="47">
        <f t="shared" si="1"/>
        <v>0.4471728135</v>
      </c>
      <c r="F96" s="4">
        <v>4632208.0</v>
      </c>
      <c r="G96" s="47">
        <f t="shared" si="2"/>
        <v>0.07783008838</v>
      </c>
      <c r="H96" s="4">
        <v>8787363.0</v>
      </c>
      <c r="I96" s="47">
        <f t="shared" si="3"/>
        <v>0.1732197483</v>
      </c>
      <c r="J96" s="4">
        <v>5467785.0</v>
      </c>
      <c r="K96" s="47">
        <f t="shared" si="4"/>
        <v>0.09186940435</v>
      </c>
      <c r="L96" s="4">
        <v>1.4243326E7</v>
      </c>
      <c r="M96" s="48">
        <f t="shared" si="5"/>
        <v>0.2393155319</v>
      </c>
      <c r="N96" s="4">
        <v>1843293.0</v>
      </c>
      <c r="O96" s="47">
        <f t="shared" si="6"/>
        <v>0.03097090137</v>
      </c>
      <c r="P96" s="6">
        <f t="shared" si="27"/>
        <v>59516932.03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>
      <c r="A97" s="4">
        <v>2023.0</v>
      </c>
      <c r="B97" s="4" t="s">
        <v>124</v>
      </c>
      <c r="C97" s="4" t="s">
        <v>125</v>
      </c>
      <c r="D97" s="4">
        <v>1.0207222E7</v>
      </c>
      <c r="E97" s="47">
        <f t="shared" si="1"/>
        <v>0.3641164432</v>
      </c>
      <c r="F97" s="4">
        <v>1581415.0</v>
      </c>
      <c r="G97" s="47">
        <f t="shared" si="2"/>
        <v>0.05340044558</v>
      </c>
      <c r="H97" s="4">
        <v>3080430.0</v>
      </c>
      <c r="I97" s="47">
        <f t="shared" si="3"/>
        <v>0.1160944087</v>
      </c>
      <c r="J97" s="4">
        <v>3978970.0</v>
      </c>
      <c r="K97" s="47">
        <f t="shared" si="4"/>
        <v>0.1343599061</v>
      </c>
      <c r="L97" s="4">
        <v>9926540.0</v>
      </c>
      <c r="M97" s="48">
        <f t="shared" si="5"/>
        <v>0.3351945309</v>
      </c>
      <c r="N97" s="4">
        <v>839689.0</v>
      </c>
      <c r="O97" s="47">
        <f t="shared" si="6"/>
        <v>0.02835420604</v>
      </c>
      <c r="P97" s="6">
        <f t="shared" si="27"/>
        <v>29614267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>
      <c r="A98" s="49">
        <v>2023.0</v>
      </c>
      <c r="B98" s="49" t="s">
        <v>126</v>
      </c>
      <c r="C98" s="49" t="s">
        <v>127</v>
      </c>
      <c r="D98" s="54">
        <f>SUM(D93:D97)</f>
        <v>158740415</v>
      </c>
      <c r="E98" s="51">
        <f t="shared" si="1"/>
        <v>0.4234263327</v>
      </c>
      <c r="F98" s="54">
        <f>SUM(F93:F97)</f>
        <v>45813011</v>
      </c>
      <c r="G98" s="51">
        <f t="shared" si="2"/>
        <v>0.1088950289</v>
      </c>
      <c r="H98" s="54">
        <f>SUM(H93:H97)</f>
        <v>76399805</v>
      </c>
      <c r="I98" s="51">
        <f t="shared" si="3"/>
        <v>0.2218936513</v>
      </c>
      <c r="J98" s="54">
        <f>SUM(J93:J97)</f>
        <v>36385514</v>
      </c>
      <c r="K98" s="51">
        <f t="shared" si="4"/>
        <v>0.08648638259</v>
      </c>
      <c r="L98" s="54">
        <f>SUM(L93:L97)</f>
        <v>89023082</v>
      </c>
      <c r="M98" s="52">
        <f t="shared" si="5"/>
        <v>0.2116030113</v>
      </c>
      <c r="N98" s="54">
        <f>SUM(N93:N97)</f>
        <v>14346184</v>
      </c>
      <c r="O98" s="51">
        <f t="shared" si="6"/>
        <v>0.03410009704</v>
      </c>
      <c r="P98" s="53">
        <f>SUM(P93:P97)</f>
        <v>420708016.2</v>
      </c>
      <c r="Q98" s="54"/>
      <c r="R98" s="55">
        <f>Total!Z29*1000000</f>
        <v>738153115</v>
      </c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</row>
    <row r="99">
      <c r="A99" s="56">
        <v>2023.0</v>
      </c>
      <c r="B99" s="56" t="s">
        <v>128</v>
      </c>
      <c r="C99" s="56" t="s">
        <v>129</v>
      </c>
      <c r="D99" s="56">
        <v>862.0</v>
      </c>
      <c r="E99" s="57">
        <f t="shared" si="1"/>
        <v>0.4130330618</v>
      </c>
      <c r="F99" s="56">
        <v>272.0</v>
      </c>
      <c r="G99" s="57">
        <f t="shared" si="2"/>
        <v>0.1153030945</v>
      </c>
      <c r="H99" s="56">
        <v>473.0</v>
      </c>
      <c r="I99" s="57">
        <f t="shared" si="3"/>
        <v>0.250795334</v>
      </c>
      <c r="J99" s="56">
        <v>207.0</v>
      </c>
      <c r="K99" s="57">
        <f t="shared" si="4"/>
        <v>0.08774904621</v>
      </c>
      <c r="L99" s="56">
        <v>436.0</v>
      </c>
      <c r="M99" s="58">
        <f t="shared" si="5"/>
        <v>0.184824078</v>
      </c>
      <c r="N99" s="56">
        <v>109.0</v>
      </c>
      <c r="O99" s="57">
        <f t="shared" si="6"/>
        <v>0.0462060195</v>
      </c>
      <c r="P99" s="59">
        <f t="shared" ref="P99:P100" si="28">SUM(D99:N99)</f>
        <v>2360.051705</v>
      </c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</row>
    <row r="100">
      <c r="A100" s="60">
        <v>2023.0</v>
      </c>
      <c r="B100" s="60" t="s">
        <v>130</v>
      </c>
      <c r="C100" s="60" t="s">
        <v>131</v>
      </c>
      <c r="D100" s="60">
        <v>830431.0</v>
      </c>
      <c r="E100" s="61">
        <f t="shared" si="1"/>
        <v>0.4253684058</v>
      </c>
      <c r="F100" s="60">
        <v>334465.0</v>
      </c>
      <c r="G100" s="61">
        <f t="shared" si="2"/>
        <v>0.1462635696</v>
      </c>
      <c r="H100" s="60">
        <v>357282.0</v>
      </c>
      <c r="I100" s="61">
        <f t="shared" si="3"/>
        <v>0.1851733606</v>
      </c>
      <c r="J100" s="60">
        <v>176571.0</v>
      </c>
      <c r="K100" s="61">
        <f t="shared" si="4"/>
        <v>0.0772155674</v>
      </c>
      <c r="L100" s="60">
        <v>514114.0</v>
      </c>
      <c r="M100" s="62">
        <f t="shared" si="5"/>
        <v>0.224825165</v>
      </c>
      <c r="N100" s="60">
        <v>73865.0</v>
      </c>
      <c r="O100" s="61">
        <f t="shared" si="6"/>
        <v>0.03230161174</v>
      </c>
      <c r="P100" s="63">
        <f t="shared" si="28"/>
        <v>2286729.059</v>
      </c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>
      <c r="A101" s="42">
        <v>2024.0</v>
      </c>
      <c r="B101" s="42" t="s">
        <v>114</v>
      </c>
      <c r="C101" s="42" t="s">
        <v>115</v>
      </c>
      <c r="D101" s="42">
        <v>6.3649163E7</v>
      </c>
      <c r="E101" s="43">
        <f t="shared" si="1"/>
        <v>0.3710402684</v>
      </c>
      <c r="F101" s="42">
        <v>2.9232206E7</v>
      </c>
      <c r="G101" s="43">
        <f t="shared" si="2"/>
        <v>0.1455970794</v>
      </c>
      <c r="H101" s="42">
        <v>3.6909515E7</v>
      </c>
      <c r="I101" s="43">
        <f t="shared" si="3"/>
        <v>0.2252432149</v>
      </c>
      <c r="J101" s="42">
        <v>1.683352E7</v>
      </c>
      <c r="K101" s="43">
        <f t="shared" si="4"/>
        <v>0.08384284605</v>
      </c>
      <c r="L101" s="42">
        <v>4.6560474E7</v>
      </c>
      <c r="M101" s="44">
        <f t="shared" si="5"/>
        <v>0.2319041207</v>
      </c>
      <c r="N101" s="42">
        <v>7589795.0</v>
      </c>
      <c r="O101" s="43">
        <f t="shared" si="6"/>
        <v>0.03780255192</v>
      </c>
      <c r="P101" s="45">
        <f>SUM(D101:N101)+Q101</f>
        <v>210450616.1</v>
      </c>
      <c r="Q101" s="42">
        <v>9675942.0</v>
      </c>
      <c r="R101" s="42"/>
      <c r="S101" s="42">
        <v>7.8277628E7</v>
      </c>
      <c r="T101" s="42">
        <v>8656200.0</v>
      </c>
      <c r="U101" s="42">
        <v>1.6897163E7</v>
      </c>
      <c r="V101" s="42">
        <v>3.7032274E7</v>
      </c>
      <c r="W101" s="42">
        <v>3.7788655E7</v>
      </c>
      <c r="X101" s="42">
        <v>1.223446E7</v>
      </c>
      <c r="Y101" s="42">
        <v>3400900.0</v>
      </c>
      <c r="Z101" s="42">
        <v>1.303199E7</v>
      </c>
      <c r="AA101" s="42">
        <v>3131345.0</v>
      </c>
      <c r="AB101" s="45"/>
      <c r="AC101" s="45"/>
      <c r="AD101" s="45"/>
      <c r="AE101" s="45"/>
      <c r="AF101" s="45"/>
      <c r="AG101" s="45"/>
      <c r="AH101" s="45"/>
    </row>
    <row r="102">
      <c r="A102" s="4">
        <v>2024.0</v>
      </c>
      <c r="B102" s="4" t="s">
        <v>116</v>
      </c>
      <c r="C102" s="4" t="s">
        <v>117</v>
      </c>
      <c r="D102" s="4">
        <v>5.0124059E7</v>
      </c>
      <c r="E102" s="47">
        <f t="shared" si="1"/>
        <v>0.4303995339</v>
      </c>
      <c r="F102" s="4">
        <v>1.6496774E7</v>
      </c>
      <c r="G102" s="47">
        <f t="shared" si="2"/>
        <v>0.1240768074</v>
      </c>
      <c r="H102" s="4">
        <v>2.7131778E7</v>
      </c>
      <c r="I102" s="47">
        <f t="shared" si="3"/>
        <v>0.256384978</v>
      </c>
      <c r="J102" s="4">
        <v>1.167593E7</v>
      </c>
      <c r="K102" s="47">
        <f t="shared" si="4"/>
        <v>0.08781790417</v>
      </c>
      <c r="L102" s="4">
        <v>2.2238269E7</v>
      </c>
      <c r="M102" s="48">
        <f t="shared" si="5"/>
        <v>0.1672601819</v>
      </c>
      <c r="N102" s="4">
        <v>5289335.0</v>
      </c>
      <c r="O102" s="47">
        <f t="shared" si="6"/>
        <v>0.03978255386</v>
      </c>
      <c r="P102" s="6">
        <f t="shared" ref="P102:P106" si="29">SUM(D102:N102)</f>
        <v>132956146.1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>
      <c r="A103" s="4">
        <v>2024.0</v>
      </c>
      <c r="B103" s="4" t="s">
        <v>118</v>
      </c>
      <c r="C103" s="4" t="s">
        <v>119</v>
      </c>
      <c r="D103" s="4">
        <v>6.0680466E7</v>
      </c>
      <c r="E103" s="47">
        <f t="shared" si="1"/>
        <v>0.4162254663</v>
      </c>
      <c r="F103" s="4">
        <v>2.1823381E7</v>
      </c>
      <c r="G103" s="47">
        <f t="shared" si="2"/>
        <v>0.1302026585</v>
      </c>
      <c r="H103" s="4">
        <v>3.4317169E7</v>
      </c>
      <c r="I103" s="47">
        <f t="shared" si="3"/>
        <v>0.2574552922</v>
      </c>
      <c r="J103" s="4">
        <v>1.2701562E7</v>
      </c>
      <c r="K103" s="47">
        <f t="shared" si="4"/>
        <v>0.07578006083</v>
      </c>
      <c r="L103" s="4">
        <v>3.2211961E7</v>
      </c>
      <c r="M103" s="48">
        <f t="shared" si="5"/>
        <v>0.1921830058</v>
      </c>
      <c r="N103" s="4">
        <v>5876332.0</v>
      </c>
      <c r="O103" s="47">
        <f t="shared" si="6"/>
        <v>0.03505937273</v>
      </c>
      <c r="P103" s="6">
        <f t="shared" si="29"/>
        <v>167610872.1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>
      <c r="A104" s="4">
        <v>2024.0</v>
      </c>
      <c r="B104" s="4" t="s">
        <v>120</v>
      </c>
      <c r="C104" s="4" t="s">
        <v>121</v>
      </c>
      <c r="D104" s="4">
        <v>2.0797467E7</v>
      </c>
      <c r="E104" s="47">
        <f t="shared" si="1"/>
        <v>0.4199420058</v>
      </c>
      <c r="F104" s="4">
        <v>5287668.0</v>
      </c>
      <c r="G104" s="47">
        <f t="shared" si="2"/>
        <v>0.09646866574</v>
      </c>
      <c r="H104" s="4">
        <v>7154813.0</v>
      </c>
      <c r="I104" s="47">
        <f t="shared" si="3"/>
        <v>0.1501299314</v>
      </c>
      <c r="J104" s="4">
        <v>3898599.0</v>
      </c>
      <c r="K104" s="47">
        <f t="shared" si="4"/>
        <v>0.07112637249</v>
      </c>
      <c r="L104" s="4">
        <v>1.6375134E7</v>
      </c>
      <c r="M104" s="48">
        <f t="shared" si="5"/>
        <v>0.2987493406</v>
      </c>
      <c r="N104" s="4">
        <v>1298604.0</v>
      </c>
      <c r="O104" s="47">
        <f t="shared" si="6"/>
        <v>0.02369184208</v>
      </c>
      <c r="P104" s="6">
        <f t="shared" si="29"/>
        <v>54812286.04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>
      <c r="A105" s="4">
        <v>2024.0</v>
      </c>
      <c r="B105" s="4" t="s">
        <v>122</v>
      </c>
      <c r="C105" s="4" t="s">
        <v>123</v>
      </c>
      <c r="D105" s="4">
        <v>2.2594645E7</v>
      </c>
      <c r="E105" s="47">
        <f t="shared" si="1"/>
        <v>0.4455292718</v>
      </c>
      <c r="F105" s="4">
        <v>4140048.0</v>
      </c>
      <c r="G105" s="47">
        <f t="shared" si="2"/>
        <v>0.07547365596</v>
      </c>
      <c r="H105" s="4">
        <v>8081011.0</v>
      </c>
      <c r="I105" s="47">
        <f t="shared" si="3"/>
        <v>0.1727701046</v>
      </c>
      <c r="J105" s="4">
        <v>4982914.0</v>
      </c>
      <c r="K105" s="47">
        <f t="shared" si="4"/>
        <v>0.09083922141</v>
      </c>
      <c r="L105" s="4">
        <v>1.3338865E7</v>
      </c>
      <c r="M105" s="48">
        <f t="shared" si="5"/>
        <v>0.2431693806</v>
      </c>
      <c r="N105" s="4">
        <v>1716730.0</v>
      </c>
      <c r="O105" s="47">
        <f t="shared" si="6"/>
        <v>0.03129622879</v>
      </c>
      <c r="P105" s="6">
        <f t="shared" si="29"/>
        <v>54854214.03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>
      <c r="A106" s="4">
        <v>2024.0</v>
      </c>
      <c r="B106" s="4" t="s">
        <v>124</v>
      </c>
      <c r="C106" s="4" t="s">
        <v>125</v>
      </c>
      <c r="D106" s="4">
        <v>9738337.0</v>
      </c>
      <c r="E106" s="47">
        <f t="shared" si="1"/>
        <v>0.3674846924</v>
      </c>
      <c r="F106" s="4">
        <v>1501748.0</v>
      </c>
      <c r="G106" s="47">
        <f t="shared" si="2"/>
        <v>0.05363054737</v>
      </c>
      <c r="H106" s="4">
        <v>2763391.0</v>
      </c>
      <c r="I106" s="47">
        <f t="shared" si="3"/>
        <v>0.1094918021</v>
      </c>
      <c r="J106" s="4">
        <v>3661334.0</v>
      </c>
      <c r="K106" s="47">
        <f t="shared" si="4"/>
        <v>0.1307538592</v>
      </c>
      <c r="L106" s="4">
        <v>9455769.0</v>
      </c>
      <c r="M106" s="48">
        <f t="shared" si="5"/>
        <v>0.3376851957</v>
      </c>
      <c r="N106" s="4">
        <v>881149.0</v>
      </c>
      <c r="O106" s="47">
        <f t="shared" si="6"/>
        <v>0.03146766514</v>
      </c>
      <c r="P106" s="6">
        <f t="shared" si="29"/>
        <v>28001729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>
      <c r="A107" s="49">
        <v>2024.0</v>
      </c>
      <c r="B107" s="49" t="s">
        <v>126</v>
      </c>
      <c r="C107" s="49" t="s">
        <v>127</v>
      </c>
      <c r="D107" s="54">
        <f>SUM(D102:D106)</f>
        <v>163934974</v>
      </c>
      <c r="E107" s="51">
        <f t="shared" si="1"/>
        <v>0.4214422444</v>
      </c>
      <c r="F107" s="54">
        <f>SUM(F102:F106)</f>
        <v>49249619</v>
      </c>
      <c r="G107" s="51">
        <f t="shared" si="2"/>
        <v>0.1123816943</v>
      </c>
      <c r="H107" s="54">
        <f>SUM(H102:H106)</f>
        <v>79448162</v>
      </c>
      <c r="I107" s="51">
        <f t="shared" si="3"/>
        <v>0.221435404</v>
      </c>
      <c r="J107" s="54">
        <f>SUM(J102:J106)</f>
        <v>36920339</v>
      </c>
      <c r="K107" s="51">
        <f t="shared" si="4"/>
        <v>0.08424776344</v>
      </c>
      <c r="L107" s="54">
        <f>SUM(L102:L106)</f>
        <v>93619998</v>
      </c>
      <c r="M107" s="52">
        <f t="shared" si="5"/>
        <v>0.213629551</v>
      </c>
      <c r="N107" s="54">
        <f>SUM(N102:N106)</f>
        <v>15062150</v>
      </c>
      <c r="O107" s="51">
        <f t="shared" si="6"/>
        <v>0.0343700108</v>
      </c>
      <c r="P107" s="53">
        <f>SUM(P102:P106)</f>
        <v>438235247.2</v>
      </c>
      <c r="Q107" s="54"/>
      <c r="R107" s="55">
        <f>Total!AA29*1000000</f>
        <v>812106987</v>
      </c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</row>
    <row r="108">
      <c r="A108" s="56">
        <v>2024.0</v>
      </c>
      <c r="B108" s="56" t="s">
        <v>128</v>
      </c>
      <c r="C108" s="56" t="s">
        <v>129</v>
      </c>
      <c r="D108" s="56">
        <v>855.0</v>
      </c>
      <c r="E108" s="57">
        <f t="shared" si="1"/>
        <v>0.4086998088</v>
      </c>
      <c r="F108" s="56">
        <v>279.0</v>
      </c>
      <c r="G108" s="57">
        <f t="shared" si="2"/>
        <v>0.1176718684</v>
      </c>
      <c r="H108" s="56">
        <v>470.0</v>
      </c>
      <c r="I108" s="57">
        <f t="shared" si="3"/>
        <v>0.2472382956</v>
      </c>
      <c r="J108" s="56">
        <v>206.0</v>
      </c>
      <c r="K108" s="57">
        <f t="shared" si="4"/>
        <v>0.08688317166</v>
      </c>
      <c r="L108" s="56">
        <v>449.0</v>
      </c>
      <c r="M108" s="58">
        <f t="shared" si="5"/>
        <v>0.1893715732</v>
      </c>
      <c r="N108" s="56">
        <v>112.0</v>
      </c>
      <c r="O108" s="57">
        <f t="shared" si="6"/>
        <v>0.04723745255</v>
      </c>
      <c r="P108" s="59">
        <f t="shared" ref="P108:P109" si="30">SUM(D108:N108)</f>
        <v>2372.049865</v>
      </c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</row>
    <row r="109">
      <c r="A109" s="60">
        <v>2024.0</v>
      </c>
      <c r="B109" s="60" t="s">
        <v>130</v>
      </c>
      <c r="C109" s="60" t="s">
        <v>131</v>
      </c>
      <c r="D109" s="60">
        <v>845870.0</v>
      </c>
      <c r="E109" s="61">
        <f t="shared" si="1"/>
        <v>0.4252819183</v>
      </c>
      <c r="F109" s="60">
        <v>341537.0</v>
      </c>
      <c r="G109" s="61">
        <f t="shared" si="2"/>
        <v>0.1465509547</v>
      </c>
      <c r="H109" s="60">
        <v>365844.0</v>
      </c>
      <c r="I109" s="61">
        <f t="shared" si="3"/>
        <v>0.1862127517</v>
      </c>
      <c r="J109" s="60">
        <v>178291.0</v>
      </c>
      <c r="K109" s="61">
        <f t="shared" si="4"/>
        <v>0.07650332547</v>
      </c>
      <c r="L109" s="60">
        <v>524410.0</v>
      </c>
      <c r="M109" s="62">
        <f t="shared" si="5"/>
        <v>0.2250203819</v>
      </c>
      <c r="N109" s="60">
        <v>74548.0</v>
      </c>
      <c r="O109" s="61">
        <f t="shared" si="6"/>
        <v>0.03198798541</v>
      </c>
      <c r="P109" s="63">
        <f t="shared" si="30"/>
        <v>2330501.06</v>
      </c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</row>
    <row r="110">
      <c r="A110" s="42">
        <v>2025.0</v>
      </c>
      <c r="B110" s="42" t="s">
        <v>114</v>
      </c>
      <c r="C110" s="42" t="s">
        <v>115</v>
      </c>
      <c r="D110" s="42">
        <v>7.9706647E7</v>
      </c>
      <c r="E110" s="43">
        <f t="shared" si="1"/>
        <v>0.419808772</v>
      </c>
      <c r="F110" s="42">
        <v>2.847151E7</v>
      </c>
      <c r="G110" s="43">
        <f t="shared" si="2"/>
        <v>0.1304024568</v>
      </c>
      <c r="H110" s="42">
        <v>4.135473E7</v>
      </c>
      <c r="I110" s="43">
        <f t="shared" si="3"/>
        <v>0.2336676821</v>
      </c>
      <c r="J110" s="42">
        <v>1.552912E7</v>
      </c>
      <c r="K110" s="43">
        <f t="shared" si="4"/>
        <v>0.07112497372</v>
      </c>
      <c r="L110" s="42">
        <v>4.4562014E7</v>
      </c>
      <c r="M110" s="44">
        <f t="shared" si="5"/>
        <v>0.2040986273</v>
      </c>
      <c r="N110" s="42">
        <v>8711666.0</v>
      </c>
      <c r="O110" s="43">
        <f t="shared" si="6"/>
        <v>0.03990033017</v>
      </c>
      <c r="P110" s="45">
        <f>SUM(D110:N110)+Q110</f>
        <v>229973998.1</v>
      </c>
      <c r="Q110" s="42">
        <v>1.163831E7</v>
      </c>
      <c r="R110" s="45"/>
      <c r="S110" s="42">
        <v>8.8648314E7</v>
      </c>
      <c r="T110" s="42">
        <v>9854918.0</v>
      </c>
      <c r="U110" s="42">
        <v>1.5571472E7</v>
      </c>
      <c r="V110" s="42">
        <v>3.6926809E7</v>
      </c>
      <c r="W110" s="42">
        <v>4.1977691E7</v>
      </c>
      <c r="X110" s="42">
        <v>1.0616639E7</v>
      </c>
      <c r="Y110" s="42">
        <v>4338790.0</v>
      </c>
      <c r="Z110" s="42">
        <v>1.496925E7</v>
      </c>
      <c r="AA110" s="42">
        <v>7070114.0</v>
      </c>
      <c r="AB110" s="45"/>
      <c r="AC110" s="45"/>
      <c r="AD110" s="45"/>
      <c r="AE110" s="45"/>
      <c r="AF110" s="45"/>
      <c r="AG110" s="45"/>
      <c r="AH110" s="45"/>
    </row>
    <row r="111">
      <c r="A111" s="4">
        <v>2025.0</v>
      </c>
      <c r="B111" s="4" t="s">
        <v>116</v>
      </c>
      <c r="C111" s="4" t="s">
        <v>117</v>
      </c>
      <c r="D111" s="4">
        <v>4.8316834E7</v>
      </c>
      <c r="E111" s="47">
        <f t="shared" si="1"/>
        <v>0.4347868388</v>
      </c>
      <c r="F111" s="4">
        <v>1.5852725E7</v>
      </c>
      <c r="G111" s="47">
        <f t="shared" si="2"/>
        <v>0.1248439109</v>
      </c>
      <c r="H111" s="4">
        <v>2.5333764E7</v>
      </c>
      <c r="I111" s="47">
        <f t="shared" si="3"/>
        <v>0.2492337619</v>
      </c>
      <c r="J111" s="4">
        <v>1.1036218E7</v>
      </c>
      <c r="K111" s="47">
        <f t="shared" si="4"/>
        <v>0.08691279365</v>
      </c>
      <c r="L111" s="4">
        <v>2.1296428E7</v>
      </c>
      <c r="M111" s="48">
        <f t="shared" si="5"/>
        <v>0.1677143431</v>
      </c>
      <c r="N111" s="4">
        <v>5144393.0</v>
      </c>
      <c r="O111" s="47">
        <f t="shared" si="6"/>
        <v>0.04051329606</v>
      </c>
      <c r="P111" s="6">
        <f t="shared" ref="P111:P115" si="31">SUM(D111:N111)</f>
        <v>126980363.1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>
      <c r="A112" s="4">
        <v>2025.0</v>
      </c>
      <c r="B112" s="4" t="s">
        <v>118</v>
      </c>
      <c r="C112" s="4" t="s">
        <v>119</v>
      </c>
      <c r="D112" s="4">
        <v>6.1212844E7</v>
      </c>
      <c r="E112" s="47">
        <f t="shared" si="1"/>
        <v>0.4151173605</v>
      </c>
      <c r="F112" s="4">
        <v>2.1506508E7</v>
      </c>
      <c r="G112" s="47">
        <f t="shared" si="2"/>
        <v>0.1272833252</v>
      </c>
      <c r="H112" s="4">
        <v>3.3873726E7</v>
      </c>
      <c r="I112" s="47">
        <f t="shared" si="3"/>
        <v>0.2507457774</v>
      </c>
      <c r="J112" s="4">
        <v>1.3067435E7</v>
      </c>
      <c r="K112" s="47">
        <f t="shared" si="4"/>
        <v>0.07733782625</v>
      </c>
      <c r="L112" s="4">
        <v>3.3458482E7</v>
      </c>
      <c r="M112" s="48">
        <f t="shared" si="5"/>
        <v>0.1980194482</v>
      </c>
      <c r="N112" s="4">
        <v>5846641.0</v>
      </c>
      <c r="O112" s="47">
        <f t="shared" si="6"/>
        <v>0.03460254486</v>
      </c>
      <c r="P112" s="6">
        <f t="shared" si="31"/>
        <v>168965637.1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>
      <c r="A113" s="4">
        <v>2025.0</v>
      </c>
      <c r="B113" s="4" t="s">
        <v>120</v>
      </c>
      <c r="C113" s="4" t="s">
        <v>121</v>
      </c>
      <c r="D113" s="4">
        <v>2.2030607E7</v>
      </c>
      <c r="E113" s="47">
        <f t="shared" si="1"/>
        <v>0.4305556937</v>
      </c>
      <c r="F113" s="4">
        <v>5522740.0</v>
      </c>
      <c r="G113" s="47">
        <f t="shared" si="2"/>
        <v>0.09741899823</v>
      </c>
      <c r="H113" s="4">
        <v>6819347.0</v>
      </c>
      <c r="I113" s="47">
        <f t="shared" si="3"/>
        <v>0.1367390759</v>
      </c>
      <c r="J113" s="4">
        <v>4039867.0</v>
      </c>
      <c r="K113" s="47">
        <f t="shared" si="4"/>
        <v>0.07126169187</v>
      </c>
      <c r="L113" s="4">
        <v>1.7036404E7</v>
      </c>
      <c r="M113" s="48">
        <f t="shared" si="5"/>
        <v>0.3005155794</v>
      </c>
      <c r="N113" s="4">
        <v>1241620.0</v>
      </c>
      <c r="O113" s="47">
        <f t="shared" si="6"/>
        <v>0.02190169673</v>
      </c>
      <c r="P113" s="6">
        <f t="shared" si="31"/>
        <v>56690586.04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>
      <c r="A114" s="4">
        <v>2025.0</v>
      </c>
      <c r="B114" s="4" t="s">
        <v>122</v>
      </c>
      <c r="C114" s="4" t="s">
        <v>123</v>
      </c>
      <c r="D114" s="4">
        <v>2.1084977E7</v>
      </c>
      <c r="E114" s="47">
        <f t="shared" si="1"/>
        <v>0.437261511</v>
      </c>
      <c r="F114" s="4">
        <v>4114786.0</v>
      </c>
      <c r="G114" s="47">
        <f t="shared" si="2"/>
        <v>0.07862352192</v>
      </c>
      <c r="H114" s="4">
        <v>7687204.0</v>
      </c>
      <c r="I114" s="47">
        <f t="shared" si="3"/>
        <v>0.1721731457</v>
      </c>
      <c r="J114" s="4">
        <v>4598674.0</v>
      </c>
      <c r="K114" s="47">
        <f t="shared" si="4"/>
        <v>0.0878694411</v>
      </c>
      <c r="L114" s="4">
        <v>1.3332113E7</v>
      </c>
      <c r="M114" s="48">
        <f t="shared" si="5"/>
        <v>0.2547441541</v>
      </c>
      <c r="N114" s="4">
        <v>1517551.0</v>
      </c>
      <c r="O114" s="47">
        <f t="shared" si="6"/>
        <v>0.02899669735</v>
      </c>
      <c r="P114" s="6">
        <f t="shared" si="31"/>
        <v>52335306.03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>
      <c r="A115" s="4">
        <v>2025.0</v>
      </c>
      <c r="B115" s="4" t="s">
        <v>124</v>
      </c>
      <c r="C115" s="4" t="s">
        <v>125</v>
      </c>
      <c r="D115" s="4">
        <v>8739181.0</v>
      </c>
      <c r="E115" s="47">
        <f t="shared" si="1"/>
        <v>0.3722392455</v>
      </c>
      <c r="F115" s="4">
        <v>1375774.0</v>
      </c>
      <c r="G115" s="47">
        <f t="shared" si="2"/>
        <v>0.05535623991</v>
      </c>
      <c r="H115" s="4">
        <v>2474563.0</v>
      </c>
      <c r="I115" s="47">
        <f t="shared" si="3"/>
        <v>0.1105775293</v>
      </c>
      <c r="J115" s="4">
        <v>3481559.0</v>
      </c>
      <c r="K115" s="47">
        <f t="shared" si="4"/>
        <v>0.1400855193</v>
      </c>
      <c r="L115" s="4">
        <v>8044386.0</v>
      </c>
      <c r="M115" s="48">
        <f t="shared" si="5"/>
        <v>0.3236774073</v>
      </c>
      <c r="N115" s="4">
        <v>737634.0</v>
      </c>
      <c r="O115" s="47">
        <f t="shared" si="6"/>
        <v>0.02967976184</v>
      </c>
      <c r="P115" s="6">
        <f t="shared" si="31"/>
        <v>24853098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>
      <c r="A116" s="49">
        <v>2025.0</v>
      </c>
      <c r="B116" s="49" t="s">
        <v>126</v>
      </c>
      <c r="C116" s="49" t="s">
        <v>127</v>
      </c>
      <c r="D116" s="54">
        <f>SUM(D111:D115)</f>
        <v>161384443</v>
      </c>
      <c r="E116" s="51">
        <f t="shared" si="1"/>
        <v>0.4230787931</v>
      </c>
      <c r="F116" s="54">
        <f>SUM(F111:F115)</f>
        <v>48372533</v>
      </c>
      <c r="G116" s="51">
        <f t="shared" si="2"/>
        <v>0.1125400679</v>
      </c>
      <c r="H116" s="54">
        <f>SUM(H111:H115)</f>
        <v>76188604</v>
      </c>
      <c r="I116" s="51">
        <f t="shared" si="3"/>
        <v>0.2154433426</v>
      </c>
      <c r="J116" s="54">
        <f>SUM(J111:J115)</f>
        <v>36223753</v>
      </c>
      <c r="K116" s="51">
        <f t="shared" si="4"/>
        <v>0.08427558719</v>
      </c>
      <c r="L116" s="54">
        <f>SUM(L111:L115)</f>
        <v>93167813</v>
      </c>
      <c r="M116" s="52">
        <f t="shared" si="5"/>
        <v>0.2167575554</v>
      </c>
      <c r="N116" s="54">
        <f>SUM(N111:N115)</f>
        <v>14487839</v>
      </c>
      <c r="O116" s="51">
        <f t="shared" si="6"/>
        <v>0.03370636772</v>
      </c>
      <c r="P116" s="53">
        <f>SUM(P111:P115)</f>
        <v>429824990.2</v>
      </c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</row>
    <row r="117">
      <c r="A117" s="56">
        <v>2025.0</v>
      </c>
      <c r="B117" s="56" t="s">
        <v>128</v>
      </c>
      <c r="C117" s="56" t="s">
        <v>129</v>
      </c>
      <c r="D117" s="56">
        <v>845.0</v>
      </c>
      <c r="E117" s="57">
        <f t="shared" si="1"/>
        <v>0.4088050314</v>
      </c>
      <c r="F117" s="56">
        <v>275.0</v>
      </c>
      <c r="G117" s="57">
        <f t="shared" si="2"/>
        <v>0.1174210077</v>
      </c>
      <c r="H117" s="56">
        <v>455.0</v>
      </c>
      <c r="I117" s="57">
        <f t="shared" si="3"/>
        <v>0.2411234764</v>
      </c>
      <c r="J117" s="56">
        <v>196.0</v>
      </c>
      <c r="K117" s="57">
        <f t="shared" si="4"/>
        <v>0.08368915457</v>
      </c>
      <c r="L117" s="56">
        <v>454.0</v>
      </c>
      <c r="M117" s="58">
        <f t="shared" si="5"/>
        <v>0.1938514091</v>
      </c>
      <c r="N117" s="56">
        <v>117.0</v>
      </c>
      <c r="O117" s="57">
        <f t="shared" si="6"/>
        <v>0.04995730145</v>
      </c>
      <c r="P117" s="59">
        <f t="shared" ref="P117:P118" si="32">SUM(D117:N117)</f>
        <v>2343.04489</v>
      </c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</row>
    <row r="118">
      <c r="A118" s="60">
        <v>2025.0</v>
      </c>
      <c r="B118" s="60" t="s">
        <v>130</v>
      </c>
      <c r="C118" s="60" t="s">
        <v>131</v>
      </c>
      <c r="D118" s="60">
        <v>855106.0</v>
      </c>
      <c r="E118" s="61">
        <f t="shared" si="1"/>
        <v>0.4250338245</v>
      </c>
      <c r="F118" s="60">
        <v>346674.0</v>
      </c>
      <c r="G118" s="61">
        <f t="shared" si="2"/>
        <v>0.146987443</v>
      </c>
      <c r="H118" s="60">
        <v>371288.0</v>
      </c>
      <c r="I118" s="61">
        <f t="shared" si="3"/>
        <v>0.1868360138</v>
      </c>
      <c r="J118" s="60">
        <v>179518.0</v>
      </c>
      <c r="K118" s="61">
        <f t="shared" si="4"/>
        <v>0.07611442391</v>
      </c>
      <c r="L118" s="60">
        <v>531102.0</v>
      </c>
      <c r="M118" s="62">
        <f t="shared" si="5"/>
        <v>0.2251836739</v>
      </c>
      <c r="N118" s="60">
        <v>74840.0</v>
      </c>
      <c r="O118" s="61">
        <f t="shared" si="6"/>
        <v>0.03173165636</v>
      </c>
      <c r="P118" s="63">
        <f t="shared" si="32"/>
        <v>2358529.06</v>
      </c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</sheetData>
  <autoFilter ref="$A$1:$AH$118">
    <sortState ref="A1:AH118">
      <sortCondition ref="A1:A118"/>
      <sortCondition ref="B1:B118"/>
      <sortCondition ref="C1:C118"/>
      <sortCondition ref="S1:S118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65" t="s">
        <v>132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13"/>
      <c r="O1" s="13"/>
      <c r="P1" s="13"/>
      <c r="Q1" s="13"/>
      <c r="R1" s="13"/>
      <c r="S1" s="13"/>
    </row>
    <row r="2">
      <c r="A2" s="65" t="s">
        <v>133</v>
      </c>
      <c r="B2" s="65">
        <v>2013.0</v>
      </c>
      <c r="C2" s="65">
        <v>2014.0</v>
      </c>
      <c r="D2" s="65">
        <v>2015.0</v>
      </c>
      <c r="E2" s="65">
        <v>2016.0</v>
      </c>
      <c r="F2" s="65">
        <v>2017.0</v>
      </c>
      <c r="G2" s="65">
        <v>2018.0</v>
      </c>
      <c r="H2" s="65">
        <v>2019.0</v>
      </c>
      <c r="I2" s="65">
        <v>2020.0</v>
      </c>
      <c r="J2" s="65">
        <v>2021.0</v>
      </c>
      <c r="K2" s="65">
        <v>2022.0</v>
      </c>
      <c r="L2" s="65">
        <v>2023.0</v>
      </c>
      <c r="M2" s="65">
        <v>2024.0</v>
      </c>
      <c r="N2" s="13"/>
      <c r="O2" s="13"/>
      <c r="P2" s="13"/>
      <c r="Q2" s="13"/>
      <c r="R2" s="13"/>
      <c r="S2" s="13"/>
    </row>
    <row r="3">
      <c r="A3" s="67" t="s">
        <v>134</v>
      </c>
      <c r="B3" s="68">
        <f>'Détail'!D8/'Détail'!D10</f>
        <v>198.035062</v>
      </c>
      <c r="C3" s="68">
        <f>'Détail'!D$17/'Détail'!D$19</f>
        <v>199.1022135</v>
      </c>
      <c r="D3" s="68">
        <f>'Détail'!D$26/'Détail'!D$28</f>
        <v>189.5156991</v>
      </c>
      <c r="E3" s="68">
        <f>'Détail'!D$35/'Détail'!D$37</f>
        <v>196.2890613</v>
      </c>
      <c r="F3" s="68">
        <f>'Détail'!D$44/'Détail'!D$46</f>
        <v>189.2697465</v>
      </c>
      <c r="G3" s="68">
        <f>'Détail'!D$53/'Détail'!D$55</f>
        <v>187.1877828</v>
      </c>
      <c r="H3" s="68">
        <f>'Détail'!D$62/'Détail'!D$64</f>
        <v>196.5418641</v>
      </c>
      <c r="I3" s="68">
        <f>'Détail'!D$71/'Détail'!D$73</f>
        <v>177.1225739</v>
      </c>
      <c r="J3" s="68">
        <f>'Détail'!D$80/'Détail'!D$82</f>
        <v>185.3303431</v>
      </c>
      <c r="K3" s="68">
        <f>'Détail'!D$89/'Détail'!D$91</f>
        <v>201.3711493</v>
      </c>
      <c r="L3" s="68">
        <f>'Détail'!D$98/'Détail'!D$100</f>
        <v>191.15425</v>
      </c>
      <c r="M3" s="68">
        <f>'Détail'!D$107/'Détail'!D$109</f>
        <v>193.8063461</v>
      </c>
    </row>
    <row r="4">
      <c r="A4" s="67" t="s">
        <v>135</v>
      </c>
      <c r="B4" s="68">
        <f>'Détail'!F8/'Détail'!F10</f>
        <v>124.819362</v>
      </c>
      <c r="C4" s="68">
        <f>'Détail'!F$17/'Détail'!F$19</f>
        <v>129.9047483</v>
      </c>
      <c r="D4" s="68">
        <f>'Détail'!F$26/'Détail'!F$28</f>
        <v>124.8328021</v>
      </c>
      <c r="E4" s="68">
        <f>'Détail'!F$35/'Détail'!F$37</f>
        <v>133.0362745</v>
      </c>
      <c r="F4" s="68">
        <f>'Détail'!F$44/'Détail'!F$46</f>
        <v>127.6473868</v>
      </c>
      <c r="G4" s="68">
        <f>'Détail'!F$53/'Détail'!F$55</f>
        <v>128.36699</v>
      </c>
      <c r="H4" s="68">
        <f>'Détail'!F$62/'Détail'!F$64</f>
        <v>134.4767127</v>
      </c>
      <c r="I4" s="68">
        <f>'Détail'!F$71/'Détail'!F$73</f>
        <v>128.7828599</v>
      </c>
      <c r="J4" s="68">
        <f>'Détail'!F$80/'Détail'!F$82</f>
        <v>134.5456165</v>
      </c>
      <c r="K4" s="68">
        <f>'Détail'!F$89/'Détail'!F$91</f>
        <v>143.8026373</v>
      </c>
      <c r="L4" s="68">
        <f>'Détail'!F$98/'Détail'!F$100</f>
        <v>136.9740062</v>
      </c>
      <c r="M4" s="68">
        <f>'Détail'!F$107/'Détail'!F$109</f>
        <v>144.199952</v>
      </c>
    </row>
    <row r="5">
      <c r="A5" s="67" t="s">
        <v>136</v>
      </c>
      <c r="B5" s="68">
        <f>'Détail'!H8/'Détail'!H10</f>
        <v>232.1538361</v>
      </c>
      <c r="C5" s="68">
        <f>'Détail'!H$17/'Détail'!H$19</f>
        <v>230.110403</v>
      </c>
      <c r="D5" s="68">
        <f>'Détail'!H$26/'Détail'!H$28</f>
        <v>218.3379189</v>
      </c>
      <c r="E5" s="68">
        <f>'Détail'!H$35/'Détail'!H$37</f>
        <v>231.1059262</v>
      </c>
      <c r="F5" s="68">
        <f>'Détail'!H$44/'Détail'!H$46</f>
        <v>216.8810087</v>
      </c>
      <c r="G5" s="68">
        <f>'Détail'!H$53/'Détail'!H$55</f>
        <v>215.9194466</v>
      </c>
      <c r="H5" s="68">
        <f>'Détail'!H$62/'Détail'!H$64</f>
        <v>221.4456775</v>
      </c>
      <c r="I5" s="68">
        <f>'Détail'!H$71/'Détail'!H$73</f>
        <v>202.2561493</v>
      </c>
      <c r="J5" s="68">
        <f>'Détail'!H$80/'Détail'!H$82</f>
        <v>209.2967205</v>
      </c>
      <c r="K5" s="68">
        <f>'Détail'!H$89/'Détail'!H$91</f>
        <v>226.315428</v>
      </c>
      <c r="L5" s="68">
        <f>'Détail'!H$98/'Détail'!H$100</f>
        <v>213.8361434</v>
      </c>
      <c r="M5" s="68">
        <f>'Détail'!H$107/'Détail'!H$109</f>
        <v>217.1640426</v>
      </c>
    </row>
    <row r="6">
      <c r="A6" s="67" t="s">
        <v>137</v>
      </c>
      <c r="B6" s="68">
        <f>'Détail'!J8/'Détail'!J10</f>
        <v>207.3790059</v>
      </c>
      <c r="C6" s="68">
        <f>'Détail'!J17/'Détail'!J$19</f>
        <v>203.5121314</v>
      </c>
      <c r="D6" s="68">
        <f>'Détail'!J$26/'Détail'!J$28</f>
        <v>196.7268605</v>
      </c>
      <c r="E6" s="68">
        <f>'Détail'!J$35/'Détail'!J$37</f>
        <v>203.9487275</v>
      </c>
      <c r="F6" s="68">
        <f>'Détail'!J$44/'Détail'!J$46</f>
        <v>196.3033763</v>
      </c>
      <c r="G6" s="68">
        <f>'Détail'!J$53/'Détail'!J$55</f>
        <v>198.3306343</v>
      </c>
      <c r="H6" s="68">
        <f>'Détail'!J$62/'Détail'!J$64</f>
        <v>206.7956008</v>
      </c>
      <c r="I6" s="68">
        <f>'Détail'!J$71/'Détail'!J$73</f>
        <v>193.3285004</v>
      </c>
      <c r="J6" s="68">
        <f>'Détail'!J$80/'Détail'!J$82</f>
        <v>201.7938588</v>
      </c>
      <c r="K6" s="68">
        <f>'Détail'!J$89/'Détail'!J$91</f>
        <v>220.6584926</v>
      </c>
      <c r="L6" s="68">
        <f>'Détail'!J$98/'Détail'!J$100</f>
        <v>206.067327</v>
      </c>
      <c r="M6" s="68">
        <f>'Détail'!J$107/'Détail'!J$109</f>
        <v>207.0790954</v>
      </c>
    </row>
    <row r="7">
      <c r="A7" s="67" t="s">
        <v>138</v>
      </c>
      <c r="B7" s="68">
        <f>'Détail'!L8/'Détail'!L10</f>
        <v>152.1418308</v>
      </c>
      <c r="C7" s="68">
        <f>'Détail'!L$17/'Détail'!L$19</f>
        <v>157.762735</v>
      </c>
      <c r="D7" s="68">
        <f>'Détail'!L$26/'Détail'!L$28</f>
        <v>152.6057857</v>
      </c>
      <c r="E7" s="68">
        <f>'Détail'!L$35/'Détail'!L$37</f>
        <v>157.970291</v>
      </c>
      <c r="F7" s="68">
        <f>'Détail'!L$44/'Détail'!L$46</f>
        <v>153.9311086</v>
      </c>
      <c r="G7" s="68">
        <f>'Détail'!L$53/'Détail'!L$55</f>
        <v>153.7848194</v>
      </c>
      <c r="H7" s="68">
        <f>'Détail'!L$62/'Détail'!L$64</f>
        <v>161.7823877</v>
      </c>
      <c r="I7" s="68">
        <f>'Détail'!L$71/'Détail'!L$73</f>
        <v>144.8765274</v>
      </c>
      <c r="J7" s="68">
        <f>'Détail'!L$80/'Détail'!L$82</f>
        <v>157.9113091</v>
      </c>
      <c r="K7" s="68">
        <f>'Détail'!L$89/'Détail'!L$91</f>
        <v>174.0079203</v>
      </c>
      <c r="L7" s="68">
        <f>'Détail'!L$98/'Détail'!L$100</f>
        <v>173.1582528</v>
      </c>
      <c r="M7" s="68">
        <f>'Détail'!L$107/'Détail'!L$109</f>
        <v>178.5244332</v>
      </c>
    </row>
    <row r="8">
      <c r="A8" s="67" t="s">
        <v>139</v>
      </c>
      <c r="B8" s="68">
        <f>'Détail'!N8/'Détail'!N10</f>
        <v>205.6340532</v>
      </c>
      <c r="C8" s="68">
        <f>'Détail'!N$17/'Détail'!N$19</f>
        <v>203.100407</v>
      </c>
      <c r="D8" s="68">
        <f>'Détail'!N$26/'Détail'!N$28</f>
        <v>199.8636376</v>
      </c>
      <c r="E8" s="68">
        <f>'Détail'!N$35/'Détail'!N$37</f>
        <v>208.0781237</v>
      </c>
      <c r="F8" s="68">
        <f>'Détail'!N44/'Détail'!N46</f>
        <v>193.6675419</v>
      </c>
      <c r="G8" s="68">
        <f>'Détail'!N$53/'Détail'!N$55</f>
        <v>189.2121299</v>
      </c>
      <c r="H8" s="68">
        <f>'Détail'!N$62/'Détail'!N$64</f>
        <v>198.6726188</v>
      </c>
      <c r="I8" s="68">
        <f>'Détail'!N$71/'Détail'!N$73</f>
        <v>179.4430719</v>
      </c>
      <c r="J8" s="68">
        <f>'Détail'!N$80/'Détail'!N$82</f>
        <v>187.2896119</v>
      </c>
      <c r="K8" s="68">
        <f>'Détail'!N$89/'Détail'!N$91</f>
        <v>201.5985393</v>
      </c>
      <c r="L8" s="68">
        <f>'Détail'!N$98/'Détail'!N$100</f>
        <v>194.2216747</v>
      </c>
      <c r="M8" s="68">
        <f>'Détail'!N$107/'Détail'!N$109</f>
        <v>202.0463326</v>
      </c>
    </row>
    <row r="9">
      <c r="A9" s="67" t="s">
        <v>140</v>
      </c>
      <c r="B9" s="68">
        <f>'Détail'!P8/'Détail'!P10</f>
        <v>183.7161315</v>
      </c>
      <c r="C9" s="68">
        <f>'Détail'!P17/'Détail'!P19</f>
        <v>185.3345128</v>
      </c>
      <c r="D9" s="68">
        <f>'Détail'!P26/'Détail'!P$28</f>
        <v>177.4360958</v>
      </c>
      <c r="E9" s="68">
        <f>'Détail'!P35/'Détail'!P37</f>
        <v>185.0854502</v>
      </c>
      <c r="F9" s="68">
        <f>'Détail'!P44/'Détail'!P46</f>
        <v>177.5214348</v>
      </c>
      <c r="G9" s="68">
        <f>'Détail'!P53/'Détail'!P55</f>
        <v>176.6541321</v>
      </c>
      <c r="H9" s="68">
        <f>'Détail'!P62/'Détail'!P64</f>
        <v>184.5108782</v>
      </c>
      <c r="I9" s="68">
        <f>'Détail'!P71/'Détail'!P73</f>
        <v>168.0972583</v>
      </c>
      <c r="J9" s="68">
        <f>'Détail'!P80/'Détail'!P82</f>
        <v>176.8565248</v>
      </c>
      <c r="K9" s="68">
        <f>'Détail'!P89/'Détail'!P91</f>
        <v>192.2328632</v>
      </c>
      <c r="L9" s="68">
        <f>'Détail'!P98/'Détail'!P100</f>
        <v>183.9780776</v>
      </c>
      <c r="M9" s="68">
        <f>'Détail'!P107/'Détail'!P109</f>
        <v>188.0433589</v>
      </c>
    </row>
    <row r="10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</row>
    <row r="11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</row>
    <row r="12">
      <c r="A12" s="70" t="s">
        <v>141</v>
      </c>
      <c r="B12" s="66"/>
      <c r="C12" s="66"/>
      <c r="D12" s="66"/>
      <c r="E12" s="66"/>
      <c r="F12" s="66"/>
      <c r="G12" s="66"/>
      <c r="H12" s="71" t="s">
        <v>142</v>
      </c>
      <c r="I12" s="66"/>
      <c r="J12" s="66"/>
      <c r="K12" s="66"/>
      <c r="L12" s="66"/>
      <c r="M12" s="66"/>
    </row>
    <row r="13">
      <c r="A13" s="65" t="s">
        <v>133</v>
      </c>
      <c r="B13" s="65">
        <v>2013.0</v>
      </c>
      <c r="C13" s="65">
        <v>2014.0</v>
      </c>
      <c r="D13" s="65">
        <v>2015.0</v>
      </c>
      <c r="E13" s="65">
        <v>2016.0</v>
      </c>
      <c r="F13" s="65">
        <v>2017.0</v>
      </c>
      <c r="G13" s="65">
        <v>2018.0</v>
      </c>
      <c r="H13" s="65">
        <v>2019.0</v>
      </c>
      <c r="I13" s="65">
        <v>2020.0</v>
      </c>
      <c r="J13" s="65">
        <v>2021.0</v>
      </c>
      <c r="K13" s="65">
        <v>2022.0</v>
      </c>
      <c r="L13" s="65">
        <v>2023.0</v>
      </c>
      <c r="M13" s="65">
        <v>2024.0</v>
      </c>
    </row>
    <row r="14">
      <c r="A14" s="67" t="s">
        <v>134</v>
      </c>
      <c r="B14" s="72">
        <f>'Détail'!$D$6/'Détail'!$D$10</f>
        <v>48.40649903</v>
      </c>
      <c r="C14" s="72">
        <f>'Détail'!$D$15/'Détail'!$D$19</f>
        <v>46.64767479</v>
      </c>
      <c r="D14" s="72">
        <f>'Détail'!$D$24/'Détail'!$D$28</f>
        <v>45.42804217</v>
      </c>
      <c r="E14" s="72">
        <f>'Détail'!$D$33/'Détail'!$D$37</f>
        <v>45.33718728</v>
      </c>
      <c r="F14" s="72">
        <f>'Détail'!$D$42/'Détail'!$D$46</f>
        <v>41.96544694</v>
      </c>
      <c r="G14" s="72">
        <f>'Détail'!$D$51/'Détail'!$D$55</f>
        <v>41.61450029</v>
      </c>
      <c r="H14" s="72">
        <f>'Détail'!$D$60/'Détail'!$D$64</f>
        <v>38.13836538</v>
      </c>
      <c r="I14" s="72">
        <f>'Détail'!$D$69/'Détail'!$D$73</f>
        <v>21.06762779</v>
      </c>
      <c r="J14" s="72">
        <f>'Détail'!$D$78/'Détail'!$D$82</f>
        <v>17.63381699</v>
      </c>
      <c r="K14" s="72">
        <f>'Détail'!$D$87/'Détail'!$D$91</f>
        <v>31.3946812</v>
      </c>
      <c r="L14" s="72">
        <f>'Détail'!$D$96/'Détail'!$D$100</f>
        <v>29.55447954</v>
      </c>
      <c r="M14" s="72">
        <f>'Détail'!$D$105/'Détail'!$D$109</f>
        <v>26.71172284</v>
      </c>
    </row>
    <row r="15">
      <c r="A15" s="67" t="s">
        <v>135</v>
      </c>
      <c r="B15" s="72">
        <f>'Détail'!$F$6/'Détail'!$F$10</f>
        <v>19.66051236</v>
      </c>
      <c r="C15" s="72">
        <f>'Détail'!$F$15/'Détail'!$F$19</f>
        <v>20.52012956</v>
      </c>
      <c r="D15" s="72">
        <f>'Détail'!$F$24/'Détail'!$F$28</f>
        <v>19.80309648</v>
      </c>
      <c r="E15" s="72">
        <f>'Détail'!$F$33/'Détail'!$F$37</f>
        <v>20.37271394</v>
      </c>
      <c r="F15" s="72">
        <f>'Détail'!$F$42/'Détail'!$F$46</f>
        <v>20.07165757</v>
      </c>
      <c r="G15" s="72">
        <f>'Détail'!$F$51/'Détail'!$F$55</f>
        <v>19.47209227</v>
      </c>
      <c r="H15" s="72">
        <f>'Détail'!$F$60/'Détail'!$F$64</f>
        <v>18.39088336</v>
      </c>
      <c r="I15" s="72">
        <f>'Détail'!$F$69/'Détail'!$F$73</f>
        <v>10.50613612</v>
      </c>
      <c r="J15" s="72">
        <f>'Détail'!$F$78/'Détail'!$F$82</f>
        <v>8.738555927</v>
      </c>
      <c r="K15" s="72">
        <f>'Détail'!$F$87/'Détail'!$F$91</f>
        <v>14.73614122</v>
      </c>
      <c r="L15" s="72">
        <f>'Détail'!$F$96/'Détail'!$F$100</f>
        <v>13.84960459</v>
      </c>
      <c r="M15" s="72">
        <f>'Détail'!$F$105/'Détail'!$F$109</f>
        <v>12.12181403</v>
      </c>
    </row>
    <row r="16">
      <c r="A16" s="67" t="s">
        <v>136</v>
      </c>
      <c r="B16" s="72">
        <f>'Détail'!$H$6/'Détail'!$H$10</f>
        <v>54.10533612</v>
      </c>
      <c r="C16" s="72">
        <f>'Détail'!$H$15/'Détail'!$H$19</f>
        <v>49.34877726</v>
      </c>
      <c r="D16" s="72">
        <f>'Détail'!$H$24/'Détail'!$H$28</f>
        <v>47.51503634</v>
      </c>
      <c r="E16" s="72">
        <f>'Détail'!$H$33/'Détail'!$H$37</f>
        <v>47.91535794</v>
      </c>
      <c r="F16" s="72">
        <f>'Détail'!$H$42/'Détail'!$H$46</f>
        <v>43.16747647</v>
      </c>
      <c r="G16" s="72">
        <f>'Détail'!$H$51/'Détail'!$H$55</f>
        <v>42.32923333</v>
      </c>
      <c r="H16" s="72">
        <f>'Détail'!$H$60/'Détail'!$H$64</f>
        <v>36.75547964</v>
      </c>
      <c r="I16" s="72">
        <f>'Détail'!$H$69/'Détail'!$H$73</f>
        <v>20.34348889</v>
      </c>
      <c r="J16" s="72">
        <f>'Détail'!$H$78/'Détail'!$H$82</f>
        <v>15.46351681</v>
      </c>
      <c r="K16" s="72">
        <f>'Détail'!$H$87/'Détail'!$H$91</f>
        <v>27.70752161</v>
      </c>
      <c r="L16" s="72">
        <f>'Détail'!$H$96/'Détail'!$H$100</f>
        <v>24.59503417</v>
      </c>
      <c r="M16" s="72">
        <f>'Détail'!$H$105/'Détail'!$H$109</f>
        <v>22.08867987</v>
      </c>
    </row>
    <row r="17">
      <c r="A17" s="67" t="s">
        <v>137</v>
      </c>
      <c r="B17" s="72">
        <f>'Détail'!$J$6/'Détail'!$J$10</f>
        <v>49.8985758</v>
      </c>
      <c r="C17" s="72">
        <f>'Détail'!$J$15/'Détail'!$J$19</f>
        <v>48.02977291</v>
      </c>
      <c r="D17" s="72">
        <f>'Détail'!$J$24/'Détail'!$J$28</f>
        <v>46.67910132</v>
      </c>
      <c r="E17" s="72">
        <f>'Détail'!$J$33/'Détail'!$J$37</f>
        <v>45.14152167</v>
      </c>
      <c r="F17" s="72">
        <f>'Détail'!$J$42/'Détail'!$J$46</f>
        <v>43.70212301</v>
      </c>
      <c r="G17" s="72">
        <f>'Détail'!$J$51/'Détail'!$J$55</f>
        <v>42.52067834</v>
      </c>
      <c r="H17" s="72">
        <f>'Détail'!$J$60/'Détail'!$J$64</f>
        <v>38.49388182</v>
      </c>
      <c r="I17" s="72">
        <f>'Détail'!$J$69/'Détail'!$J$73</f>
        <v>22.53160978</v>
      </c>
      <c r="J17" s="72">
        <f>'Détail'!$J$78/'Détail'!$J$82</f>
        <v>19.17076762</v>
      </c>
      <c r="K17" s="72">
        <f>'Détail'!$J$87/'Détail'!$J$91</f>
        <v>33.16057582</v>
      </c>
      <c r="L17" s="72">
        <f>'Détail'!$J$96/'Détail'!$J$100</f>
        <v>30.96649506</v>
      </c>
      <c r="M17" s="72">
        <f>'Détail'!$J$105/'Détail'!$J$109</f>
        <v>27.94820827</v>
      </c>
    </row>
    <row r="18">
      <c r="A18" s="67" t="s">
        <v>138</v>
      </c>
      <c r="B18" s="72">
        <f>'Détail'!$L$6/'Détail'!$L$10</f>
        <v>49.61763417</v>
      </c>
      <c r="C18" s="72">
        <f>'Détail'!$L$15/'Détail'!$L$19</f>
        <v>45.82176157</v>
      </c>
      <c r="D18" s="72">
        <f>'Détail'!$L$24/'Détail'!$L$28</f>
        <v>44.4599558</v>
      </c>
      <c r="E18" s="72">
        <f>'Détail'!$L$33/'Détail'!$L$37</f>
        <v>44.12626461</v>
      </c>
      <c r="F18" s="72">
        <f>'Détail'!$L$42/'Détail'!$L$46</f>
        <v>41.4331616</v>
      </c>
      <c r="G18" s="72">
        <f>'Détail'!$L$51/'Détail'!$L$55</f>
        <v>39.60177406</v>
      </c>
      <c r="H18" s="72">
        <f>'Détail'!$L$60/'Détail'!$L$64</f>
        <v>35.86455514</v>
      </c>
      <c r="I18" s="72">
        <f>'Détail'!$L$69/'Détail'!$L$73</f>
        <v>19.79890623</v>
      </c>
      <c r="J18" s="72">
        <f>'Détail'!$L$78/'Détail'!$L$82</f>
        <v>16.94040601</v>
      </c>
      <c r="K18" s="72">
        <f>'Détail'!$L$87/'Détail'!$L$91</f>
        <v>28.14848424</v>
      </c>
      <c r="L18" s="72">
        <f>'Détail'!$L$96/'Détail'!$L$100</f>
        <v>27.70460637</v>
      </c>
      <c r="M18" s="72">
        <f>'Détail'!$L$105/'Détail'!$L$109</f>
        <v>25.43594706</v>
      </c>
    </row>
    <row r="19">
      <c r="A19" s="67" t="s">
        <v>139</v>
      </c>
      <c r="B19" s="72">
        <f>'Détail'!N$6/'Détail'!$N$10</f>
        <v>43.8143131</v>
      </c>
      <c r="C19" s="72">
        <f>'Détail'!$N$15/'Détail'!$N$19</f>
        <v>41.90486214</v>
      </c>
      <c r="D19" s="72">
        <f>'Détail'!$N$24/'Détail'!$N$28</f>
        <v>41.91273305</v>
      </c>
      <c r="E19" s="72">
        <f>'Détail'!$N$33/'Détail'!$N$37</f>
        <v>41.59043445</v>
      </c>
      <c r="F19" s="72">
        <f>'Détail'!$N$42/'Détail'!$N$46</f>
        <v>36.31887804</v>
      </c>
      <c r="G19" s="72">
        <f>'Détail'!$N$51/'Détail'!$N$55</f>
        <v>33.46823578</v>
      </c>
      <c r="H19" s="72">
        <f>'Détail'!$N$60/'Détail'!$N$64</f>
        <v>32.6495049</v>
      </c>
      <c r="I19" s="72">
        <f>'Détail'!$N$69/'Détail'!$N$73</f>
        <v>16.57326321</v>
      </c>
      <c r="J19" s="72">
        <f>'Détail'!$N$78/'Détail'!$N$82</f>
        <v>13.60913864</v>
      </c>
      <c r="K19" s="72">
        <f>'Détail'!$N$87/'Détail'!$N$91</f>
        <v>25.96720778</v>
      </c>
      <c r="L19" s="72">
        <f>'Détail'!$N$96/'Détail'!$N$100</f>
        <v>24.95489068</v>
      </c>
      <c r="M19" s="72">
        <f>'Détail'!N$105/'Détail'!$N$109</f>
        <v>23.02851854</v>
      </c>
    </row>
    <row r="20">
      <c r="A20" s="67" t="s">
        <v>140</v>
      </c>
      <c r="B20" s="72">
        <f>'Détail'!P$6/'Détail'!$P$10</f>
        <v>45.46525239</v>
      </c>
      <c r="C20" s="72">
        <f>'Détail'!$P$15/'Détail'!$P$19</f>
        <v>43.12065888</v>
      </c>
      <c r="D20" s="72">
        <f>'Détail'!$P$24/'Détail'!$P$28</f>
        <v>41.8604511</v>
      </c>
      <c r="E20" s="72">
        <f>'Détail'!$P$33/'Détail'!$P$37</f>
        <v>41.75725691</v>
      </c>
      <c r="F20" s="72">
        <f>'Détail'!$P$42/'Détail'!$P$46</f>
        <v>38.84910698</v>
      </c>
      <c r="G20" s="72">
        <f>'Détail'!$P$51/'Détail'!$P$55</f>
        <v>37.89663775</v>
      </c>
      <c r="H20" s="72">
        <f>'Détail'!$P$60/'Détail'!$P$64</f>
        <v>34.41008766</v>
      </c>
      <c r="I20" s="72">
        <f>'Détail'!$P$69/'Détail'!$P$73</f>
        <v>19.10920117</v>
      </c>
      <c r="J20" s="72">
        <f>'Détail'!$P$78/'Détail'!$P$82</f>
        <v>15.83885571</v>
      </c>
      <c r="K20" s="72">
        <f>'Détail'!$P$87/'Détail'!$P$91</f>
        <v>27.62504902</v>
      </c>
      <c r="L20" s="72">
        <f>'Détail'!$P$96/'Détail'!$P$100</f>
        <v>26.02710269</v>
      </c>
      <c r="M20" s="72">
        <f>'Détail'!$P$105/'Détail'!$P$109</f>
        <v>23.53751945</v>
      </c>
    </row>
    <row r="23">
      <c r="A23" s="73" t="s">
        <v>143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</row>
    <row r="24">
      <c r="A24" s="65" t="s">
        <v>133</v>
      </c>
      <c r="B24" s="65">
        <v>2013.0</v>
      </c>
      <c r="C24" s="65">
        <v>2014.0</v>
      </c>
      <c r="D24" s="65">
        <v>2015.0</v>
      </c>
      <c r="E24" s="65">
        <v>2016.0</v>
      </c>
      <c r="F24" s="65">
        <v>2017.0</v>
      </c>
      <c r="G24" s="65">
        <v>2018.0</v>
      </c>
      <c r="H24" s="65">
        <v>2019.0</v>
      </c>
      <c r="I24" s="65">
        <v>2020.0</v>
      </c>
      <c r="J24" s="65">
        <v>2021.0</v>
      </c>
      <c r="K24" s="65">
        <v>2022.0</v>
      </c>
      <c r="L24" s="65">
        <v>2023.0</v>
      </c>
      <c r="M24" s="65">
        <v>2024.0</v>
      </c>
    </row>
    <row r="25">
      <c r="A25" s="67" t="s">
        <v>134</v>
      </c>
      <c r="B25" s="72">
        <f>'Détail'!$D$5/'Détail'!$D$10</f>
        <v>2.308825692</v>
      </c>
      <c r="C25" s="72">
        <f>'Détail'!$D$14/'Détail'!$D$19</f>
        <v>2.685667885</v>
      </c>
      <c r="D25" s="72">
        <f>'Détail'!$D$23/'Détail'!$D$28</f>
        <v>2.584571985</v>
      </c>
      <c r="E25" s="72">
        <f>'Détail'!$D$32/'Détail'!$D$37</f>
        <v>3.088747581</v>
      </c>
      <c r="F25" s="72">
        <f>'Détail'!$D$41/'Détail'!$D$46</f>
        <v>3.212138549</v>
      </c>
      <c r="G25" s="72">
        <f>'Détail'!$D$50/'Détail'!$D$55</f>
        <v>5.63822909</v>
      </c>
      <c r="H25" s="72">
        <f>'Détail'!$D$59/'Détail'!$D$64</f>
        <v>10.12256474</v>
      </c>
      <c r="I25" s="72">
        <f>'Détail'!$D$68/'Détail'!$D$73</f>
        <v>11.95253</v>
      </c>
      <c r="J25" s="72">
        <f>'Détail'!$D$77/'Détail'!$D$82</f>
        <v>18.19124358</v>
      </c>
      <c r="K25" s="72">
        <f>'Détail'!$D$86/'Détail'!$D$91</f>
        <v>19.04042806</v>
      </c>
      <c r="L25" s="72">
        <f>'Détail'!$D$95/'Détail'!$D$100</f>
        <v>19.69668281</v>
      </c>
      <c r="M25" s="72">
        <f>'Détail'!$D$104/'Détail'!$D$109</f>
        <v>24.58707248</v>
      </c>
    </row>
    <row r="26">
      <c r="A26" s="67" t="s">
        <v>135</v>
      </c>
      <c r="B26" s="72">
        <f>'Détail'!$F$5/'Détail'!$F$10</f>
        <v>1.618315345</v>
      </c>
      <c r="C26" s="72">
        <f>'Détail'!$F$14/'Détail'!$F$19</f>
        <v>1.756620814</v>
      </c>
      <c r="D26" s="72">
        <f>'Détail'!$F$23/'Détail'!$F$28</f>
        <v>2.489137278</v>
      </c>
      <c r="E26" s="72">
        <f>'Détail'!$F$32/'Détail'!$F$37</f>
        <v>2.696663967</v>
      </c>
      <c r="F26" s="72">
        <f>'Détail'!$F$41/'Détail'!$F$46</f>
        <v>2.314666863</v>
      </c>
      <c r="G26" s="72">
        <f>'Détail'!$F$50/'Détail'!$F$55</f>
        <v>4.109961469</v>
      </c>
      <c r="H26" s="72">
        <f>'Détail'!$F$59/'Détail'!$F$64</f>
        <v>6.127936018</v>
      </c>
      <c r="I26" s="72">
        <f>'Détail'!$F$68/'Détail'!$F$73</f>
        <v>7.928591629</v>
      </c>
      <c r="J26" s="72">
        <f>'Détail'!$F$77/'Détail'!$F$82</f>
        <v>11.00907231</v>
      </c>
      <c r="K26" s="72">
        <f>'Détail'!$F$86/'Détail'!$F$91</f>
        <v>12.15427717</v>
      </c>
      <c r="L26" s="72">
        <f>'Détail'!$F$95/'Détail'!$F$100</f>
        <v>12.49580076</v>
      </c>
      <c r="M26" s="72">
        <f>'Détail'!$F$104/'Détail'!$F$109</f>
        <v>15.48197706</v>
      </c>
    </row>
    <row r="27">
      <c r="A27" s="67" t="s">
        <v>136</v>
      </c>
      <c r="B27" s="72">
        <f>'Détail'!$H$5/'Détail'!$H$10</f>
        <v>2.818985988</v>
      </c>
      <c r="C27" s="72">
        <f>'Détail'!$H$14/'Détail'!$H$19</f>
        <v>3.156814297</v>
      </c>
      <c r="D27" s="72">
        <f>'Détail'!$H$23/'Détail'!$H$28</f>
        <v>3.188251854</v>
      </c>
      <c r="E27" s="72">
        <f>'Détail'!$H$32/'Détail'!$H$37</f>
        <v>3.761701063</v>
      </c>
      <c r="F27" s="72">
        <f>'Détail'!$H$41/'Détail'!$H$46</f>
        <v>3.214658466</v>
      </c>
      <c r="G27" s="72">
        <f>'Détail'!$H$50/'Détail'!$H$55</f>
        <v>6.1407971</v>
      </c>
      <c r="H27" s="72">
        <f>'Détail'!$H$59/'Détail'!$H$64</f>
        <v>7.874370194</v>
      </c>
      <c r="I27" s="72">
        <f>'Détail'!$H$68/'Détail'!$H$73</f>
        <v>11.48731061</v>
      </c>
      <c r="J27" s="72">
        <f>'Détail'!$H$77/'Détail'!$H$82</f>
        <v>16.67823233</v>
      </c>
      <c r="K27" s="72">
        <f>'Détail'!$H$86/'Détail'!$H$91</f>
        <v>16.66915339</v>
      </c>
      <c r="L27" s="72">
        <f>'Détail'!$H$95/'Détail'!$H$100</f>
        <v>15.38163691</v>
      </c>
      <c r="M27" s="72">
        <f>'Détail'!$H$104/'Détail'!$H$109</f>
        <v>19.55700517</v>
      </c>
    </row>
    <row r="28">
      <c r="A28" s="67" t="s">
        <v>137</v>
      </c>
      <c r="B28" s="72">
        <f>'Détail'!$J$5/'Détail'!$J$10</f>
        <v>2.428956082</v>
      </c>
      <c r="C28" s="72">
        <f>'Détail'!$J$14/'Détail'!$J$19</f>
        <v>3.311986259</v>
      </c>
      <c r="D28" s="72">
        <f>'Détail'!$J$23/'Détail'!$J$28</f>
        <v>2.998268735</v>
      </c>
      <c r="E28" s="72">
        <f>'Détail'!$J$32/'Détail'!$J$37</f>
        <v>3.246138557</v>
      </c>
      <c r="F28" s="72">
        <f>'Détail'!$J$41/'Détail'!$J$46</f>
        <v>3.593245112</v>
      </c>
      <c r="G28" s="72">
        <f>'Détail'!$J$50/'Détail'!$J$55</f>
        <v>5.136696186</v>
      </c>
      <c r="H28" s="72">
        <f>'Détail'!$J$59/'Détail'!$J$64</f>
        <v>8.058326265</v>
      </c>
      <c r="I28" s="72">
        <f>'Détail'!$J$68/'Détail'!$J$73</f>
        <v>10.89619028</v>
      </c>
      <c r="J28" s="72">
        <f>'Détail'!$J$77/'Détail'!$J$82</f>
        <v>16.415324</v>
      </c>
      <c r="K28" s="72">
        <f>'Détail'!$J$86/'Détail'!$J$91</f>
        <v>19.34384615</v>
      </c>
      <c r="L28" s="72">
        <f>'Détail'!$J$95/'Détail'!$J$100</f>
        <v>16.54527074</v>
      </c>
      <c r="M28" s="72">
        <f>'Détail'!$J$104/'Détail'!$J$109</f>
        <v>21.86649354</v>
      </c>
    </row>
    <row r="29">
      <c r="A29" s="67" t="s">
        <v>138</v>
      </c>
      <c r="B29" s="72">
        <f>'Détail'!$L$5/'Détail'!$L$10</f>
        <v>1.848171349</v>
      </c>
      <c r="C29" s="72">
        <f>'Détail'!$L$14/'Détail'!$L$19</f>
        <v>3.141264036</v>
      </c>
      <c r="D29" s="72">
        <f>'Détail'!$L$23/'Détail'!$L$28</f>
        <v>3.424986122</v>
      </c>
      <c r="E29" s="72">
        <f>'Détail'!$L$32/'Détail'!$L$37</f>
        <v>3.955212734</v>
      </c>
      <c r="F29" s="72">
        <f>'Détail'!$L$41/'Détail'!$L$46</f>
        <v>3.83736446</v>
      </c>
      <c r="G29" s="72">
        <f>'Détail'!$L$50/'Détail'!$L$55</f>
        <v>7.413759543</v>
      </c>
      <c r="H29" s="72">
        <f>'Détail'!$L$59/'Détail'!$L$64</f>
        <v>10.31993273</v>
      </c>
      <c r="I29" s="72">
        <f>'Détail'!$L$68/'Détail'!$L$73</f>
        <v>13.87036427</v>
      </c>
      <c r="J29" s="72">
        <f>'Détail'!$L$77/'Détail'!$L$82</f>
        <v>20.7172391</v>
      </c>
      <c r="K29" s="72">
        <f>'Détail'!$L$86/'Détail'!$L$91</f>
        <v>22.74335752</v>
      </c>
      <c r="L29" s="72">
        <f>'Détail'!$L$95/'Détail'!$L$100</f>
        <v>27.34165963</v>
      </c>
      <c r="M29" s="72">
        <f>'Détail'!$L$104/'Détail'!$L$109</f>
        <v>31.22582331</v>
      </c>
    </row>
    <row r="30">
      <c r="A30" s="67" t="s">
        <v>139</v>
      </c>
      <c r="B30" s="72">
        <f>'Détail'!N$5/'Détail'!$N$10</f>
        <v>1.518465789</v>
      </c>
      <c r="C30" s="72">
        <f>'Détail'!$N$14/'Détail'!$N$19</f>
        <v>1.517452396</v>
      </c>
      <c r="D30" s="72">
        <f>'Détail'!$N$23/'Détail'!$N$28</f>
        <v>1.92404364</v>
      </c>
      <c r="E30" s="72">
        <f>'Détail'!$N$32/'Détail'!$N$37</f>
        <v>2.180992553</v>
      </c>
      <c r="F30" s="72">
        <f>'Détail'!$N$41/'Détail'!$N$46</f>
        <v>2.22957523</v>
      </c>
      <c r="G30" s="72">
        <f>'Détail'!$N$50/'Détail'!$N$55</f>
        <v>4.385182153</v>
      </c>
      <c r="H30" s="72">
        <f>'Détail'!$N$59/'Détail'!$N$64</f>
        <v>6.343140059</v>
      </c>
      <c r="I30" s="72">
        <f>'Détail'!$N$68/'Détail'!$N$73</f>
        <v>8.656650902</v>
      </c>
      <c r="J30" s="72">
        <f>'Détail'!$N$77/'Détail'!$N$82</f>
        <v>13.0343106</v>
      </c>
      <c r="K30" s="72">
        <f>'Détail'!$N$86/'Détail'!$N$91</f>
        <v>11.8113499</v>
      </c>
      <c r="L30" s="72">
        <f>'Détail'!$N$95/'Détail'!$N$100</f>
        <v>13.19945847</v>
      </c>
      <c r="M30" s="72">
        <f>'Détail'!N$104/'Détail'!$N$109</f>
        <v>17.41970274</v>
      </c>
    </row>
    <row r="31">
      <c r="A31" s="67" t="s">
        <v>140</v>
      </c>
      <c r="B31" s="72">
        <f>'Détail'!P$5/'Détail'!$P$10</f>
        <v>2.169965559</v>
      </c>
      <c r="C31" s="72">
        <f>'Détail'!$P$14/'Détail'!$P$19</f>
        <v>2.742138913</v>
      </c>
      <c r="D31" s="72">
        <f>'Détail'!$P$23/'Détail'!$P$28</f>
        <v>2.866181244</v>
      </c>
      <c r="E31" s="72">
        <f>'Détail'!$P$32/'Détail'!$P$37</f>
        <v>3.315180294</v>
      </c>
      <c r="F31" s="72">
        <f>'Détail'!$P$41/'Détail'!$P$46</f>
        <v>3.222789066</v>
      </c>
      <c r="G31" s="72">
        <f>'Détail'!$P$50/'Détail'!$P$55</f>
        <v>5.815048344</v>
      </c>
      <c r="H31" s="72">
        <f>'Détail'!$P$59/'Détail'!$P$64</f>
        <v>8.951270476</v>
      </c>
      <c r="I31" s="72">
        <f>'Détail'!$P$68/'Détail'!$P$73</f>
        <v>11.5403702</v>
      </c>
      <c r="J31" s="72">
        <f>'Détail'!$P$77/'Détail'!$P$82</f>
        <v>17.17617127</v>
      </c>
      <c r="K31" s="72">
        <f>'Détail'!$P$86/'Détail'!$P$91</f>
        <v>18.2890025</v>
      </c>
      <c r="L31" s="72">
        <f>'Détail'!$P$95/'Détail'!$P$100</f>
        <v>19.23483233</v>
      </c>
      <c r="M31" s="72">
        <f>'Détail'!$P$104/'Détail'!$P$109</f>
        <v>23.51952848</v>
      </c>
    </row>
  </sheetData>
  <hyperlinks>
    <hyperlink r:id="rId1" location="t20n42" ref="A12"/>
    <hyperlink r:id="rId2" ref="H1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8.63"/>
    <col customWidth="1" min="3" max="3" width="21.0"/>
  </cols>
  <sheetData>
    <row r="1">
      <c r="A1" s="24"/>
      <c r="B1" s="17" t="s">
        <v>133</v>
      </c>
      <c r="C1" s="24"/>
      <c r="D1" s="74">
        <v>2013.0</v>
      </c>
      <c r="E1" s="74">
        <v>2014.0</v>
      </c>
      <c r="F1" s="74">
        <v>2015.0</v>
      </c>
      <c r="G1" s="74">
        <v>2016.0</v>
      </c>
      <c r="H1" s="74">
        <v>2017.0</v>
      </c>
      <c r="I1" s="74">
        <v>2018.0</v>
      </c>
      <c r="J1" s="74">
        <v>2019.0</v>
      </c>
      <c r="K1" s="74">
        <v>2020.0</v>
      </c>
      <c r="L1" s="74">
        <v>2021.0</v>
      </c>
      <c r="M1" s="74">
        <v>2022.0</v>
      </c>
      <c r="N1" s="74">
        <v>2023.0</v>
      </c>
      <c r="O1" s="74">
        <v>2024.0</v>
      </c>
      <c r="P1" s="17">
        <v>2025.0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74" t="s">
        <v>144</v>
      </c>
      <c r="B2" s="24"/>
      <c r="C2" s="24"/>
      <c r="D2" s="24">
        <f t="shared" ref="D2:P2" si="1">SUM(D3:D90)</f>
        <v>915100.15</v>
      </c>
      <c r="E2" s="24">
        <f t="shared" si="1"/>
        <v>933790.43</v>
      </c>
      <c r="F2" s="24">
        <f t="shared" si="1"/>
        <v>936964.6</v>
      </c>
      <c r="G2" s="24">
        <f t="shared" si="1"/>
        <v>982353</v>
      </c>
      <c r="H2" s="24">
        <f t="shared" si="1"/>
        <v>975478</v>
      </c>
      <c r="I2" s="24">
        <f t="shared" si="1"/>
        <v>997738</v>
      </c>
      <c r="J2" s="24">
        <f t="shared" si="1"/>
        <v>974046</v>
      </c>
      <c r="K2" s="24">
        <f t="shared" si="1"/>
        <v>760118</v>
      </c>
      <c r="L2" s="24">
        <f t="shared" si="1"/>
        <v>1418713</v>
      </c>
      <c r="M2" s="24">
        <f t="shared" si="1"/>
        <v>1531371</v>
      </c>
      <c r="N2" s="24">
        <f t="shared" si="1"/>
        <v>1753228</v>
      </c>
      <c r="O2" s="24">
        <f t="shared" si="1"/>
        <v>1233741</v>
      </c>
      <c r="P2" s="24">
        <f t="shared" si="1"/>
        <v>0</v>
      </c>
      <c r="Q2" s="17" t="s">
        <v>145</v>
      </c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A3" s="17" t="s">
        <v>146</v>
      </c>
      <c r="B3" s="17" t="s">
        <v>136</v>
      </c>
      <c r="C3" s="17" t="s">
        <v>147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17">
        <v>6149.0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17" t="s">
        <v>148</v>
      </c>
      <c r="B4" s="17" t="s">
        <v>136</v>
      </c>
      <c r="C4" s="17"/>
      <c r="D4" s="24"/>
      <c r="E4" s="24"/>
      <c r="F4" s="24"/>
      <c r="G4" s="24"/>
      <c r="H4" s="24"/>
      <c r="I4" s="17">
        <v>8300.0</v>
      </c>
      <c r="J4" s="24"/>
      <c r="K4" s="24"/>
      <c r="L4" s="24"/>
      <c r="M4" s="17"/>
      <c r="N4" s="24"/>
      <c r="O4" s="17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A5" s="17" t="s">
        <v>149</v>
      </c>
      <c r="B5" s="17" t="s">
        <v>136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17">
        <v>1692.0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A6" s="17" t="s">
        <v>150</v>
      </c>
      <c r="B6" s="17" t="s">
        <v>134</v>
      </c>
      <c r="C6" s="17" t="s">
        <v>147</v>
      </c>
      <c r="D6" s="24"/>
      <c r="E6" s="24"/>
      <c r="F6" s="24"/>
      <c r="G6" s="24"/>
      <c r="H6" s="24"/>
      <c r="I6" s="24"/>
      <c r="J6" s="24"/>
      <c r="K6" s="24"/>
      <c r="L6" s="24"/>
      <c r="M6" s="17">
        <v>6000.0</v>
      </c>
      <c r="N6" s="24"/>
      <c r="O6" s="17">
        <v>6000.0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17" t="s">
        <v>150</v>
      </c>
      <c r="B7" s="17" t="s">
        <v>134</v>
      </c>
      <c r="C7" s="17" t="s">
        <v>151</v>
      </c>
      <c r="D7" s="24"/>
      <c r="E7" s="24"/>
      <c r="F7" s="24"/>
      <c r="G7" s="24"/>
      <c r="H7" s="24"/>
      <c r="I7" s="24"/>
      <c r="J7" s="24"/>
      <c r="K7" s="24"/>
      <c r="L7" s="24"/>
      <c r="M7" s="17">
        <v>6000.0</v>
      </c>
      <c r="N7" s="24"/>
      <c r="O7" s="17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17" t="s">
        <v>152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17">
        <v>2713.0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17" t="s">
        <v>153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17">
        <v>5000.0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17" t="s">
        <v>154</v>
      </c>
      <c r="B10" s="17" t="s">
        <v>135</v>
      </c>
      <c r="C10" s="24"/>
      <c r="D10" s="24"/>
      <c r="E10" s="24"/>
      <c r="F10" s="24"/>
      <c r="G10" s="24"/>
      <c r="H10" s="17">
        <v>1000.0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17" t="s">
        <v>155</v>
      </c>
      <c r="B11" s="17" t="s">
        <v>137</v>
      </c>
      <c r="C11" s="17" t="s">
        <v>147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17">
        <v>10000.0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17" t="s">
        <v>155</v>
      </c>
      <c r="B12" s="17" t="s">
        <v>137</v>
      </c>
      <c r="C12" s="17" t="s">
        <v>151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17">
        <v>40000.0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17" t="s">
        <v>156</v>
      </c>
      <c r="B13" s="17" t="s">
        <v>136</v>
      </c>
      <c r="C13" s="17"/>
      <c r="D13" s="24"/>
      <c r="E13" s="24"/>
      <c r="F13" s="24"/>
      <c r="G13" s="24"/>
      <c r="H13" s="24"/>
      <c r="I13" s="24"/>
      <c r="J13" s="24"/>
      <c r="K13" s="17">
        <v>8118.0</v>
      </c>
      <c r="L13" s="24"/>
      <c r="M13" s="24"/>
      <c r="N13" s="17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17" t="s">
        <v>157</v>
      </c>
      <c r="B14" s="17" t="s">
        <v>136</v>
      </c>
      <c r="C14" s="17" t="s">
        <v>147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17">
        <v>5053.0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17" t="s">
        <v>158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17">
        <v>6000.0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17" t="s">
        <v>159</v>
      </c>
      <c r="B16" s="24"/>
      <c r="C16" s="24"/>
      <c r="D16" s="24"/>
      <c r="E16" s="17">
        <v>1600.0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17" t="s">
        <v>160</v>
      </c>
      <c r="B17" s="17" t="s">
        <v>161</v>
      </c>
      <c r="C17" s="24"/>
      <c r="D17" s="24"/>
      <c r="E17" s="17">
        <v>20000.0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17" t="s">
        <v>162</v>
      </c>
      <c r="B18" s="17" t="s">
        <v>134</v>
      </c>
      <c r="C18" s="17" t="s">
        <v>151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17">
        <v>6000.0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A19" s="17" t="s">
        <v>163</v>
      </c>
      <c r="B19" s="24"/>
      <c r="C19" s="24"/>
      <c r="D19" s="24"/>
      <c r="E19" s="24"/>
      <c r="F19" s="24"/>
      <c r="G19" s="17">
        <v>20000.0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A20" s="17" t="s">
        <v>164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7">
        <v>2000.0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17" t="s">
        <v>165</v>
      </c>
      <c r="B21" s="24"/>
      <c r="C21" s="24"/>
      <c r="D21" s="24"/>
      <c r="E21" s="24"/>
      <c r="F21" s="24"/>
      <c r="G21" s="24"/>
      <c r="H21" s="17">
        <v>7000.0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17" t="s">
        <v>166</v>
      </c>
      <c r="B22" s="17" t="s">
        <v>134</v>
      </c>
      <c r="C22" s="17" t="s">
        <v>151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17">
        <v>7500.0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17" t="s">
        <v>167</v>
      </c>
      <c r="B23" s="17" t="s">
        <v>134</v>
      </c>
      <c r="C23" s="17" t="s">
        <v>147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17">
        <v>5500.0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17" t="s">
        <v>167</v>
      </c>
      <c r="B24" s="17" t="s">
        <v>134</v>
      </c>
      <c r="C24" s="17" t="s">
        <v>151</v>
      </c>
      <c r="D24" s="24"/>
      <c r="E24" s="24"/>
      <c r="F24" s="24"/>
      <c r="G24" s="24"/>
      <c r="H24" s="24"/>
      <c r="I24" s="17">
        <v>5000.0</v>
      </c>
      <c r="J24" s="24"/>
      <c r="K24" s="24"/>
      <c r="L24" s="24"/>
      <c r="M24" s="24"/>
      <c r="N24" s="24"/>
      <c r="O24" s="17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17" t="s">
        <v>168</v>
      </c>
      <c r="B25" s="17" t="s">
        <v>134</v>
      </c>
      <c r="C25" s="17" t="s">
        <v>151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17">
        <v>2500.0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17" t="s">
        <v>169</v>
      </c>
      <c r="B26" s="17" t="s">
        <v>136</v>
      </c>
      <c r="C26" s="17"/>
      <c r="D26" s="24"/>
      <c r="E26" s="24"/>
      <c r="F26" s="24"/>
      <c r="G26" s="17">
        <v>1350.0</v>
      </c>
      <c r="H26" s="24"/>
      <c r="I26" s="24"/>
      <c r="J26" s="24"/>
      <c r="K26" s="24"/>
      <c r="L26" s="24"/>
      <c r="M26" s="24"/>
      <c r="N26" s="24"/>
      <c r="O26" s="17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17" t="s">
        <v>170</v>
      </c>
      <c r="B27" s="17" t="s">
        <v>134</v>
      </c>
      <c r="C27" s="17" t="s">
        <v>151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17">
        <v>8000.0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17" t="s">
        <v>171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7">
        <v>15000.0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17" t="s">
        <v>172</v>
      </c>
      <c r="B29" s="24"/>
      <c r="C29" s="24"/>
      <c r="D29" s="24"/>
      <c r="E29" s="24"/>
      <c r="F29" s="24"/>
      <c r="G29" s="24"/>
      <c r="H29" s="17">
        <v>5500.0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17" t="s">
        <v>173</v>
      </c>
      <c r="B30" s="17" t="s">
        <v>134</v>
      </c>
      <c r="C30" s="17" t="s">
        <v>151</v>
      </c>
      <c r="D30" s="24"/>
      <c r="E30" s="24"/>
      <c r="F30" s="24"/>
      <c r="G30" s="24"/>
      <c r="H30" s="17">
        <v>5000.0</v>
      </c>
      <c r="I30" s="24"/>
      <c r="J30" s="24"/>
      <c r="K30" s="24"/>
      <c r="L30" s="24"/>
      <c r="M30" s="24"/>
      <c r="N30" s="24"/>
      <c r="O30" s="17">
        <v>7000.0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17" t="s">
        <v>174</v>
      </c>
      <c r="B31" s="24"/>
      <c r="C31" s="24"/>
      <c r="D31" s="24"/>
      <c r="E31" s="17">
        <v>5000.0</v>
      </c>
      <c r="F31" s="24"/>
      <c r="G31" s="17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17" t="s">
        <v>175</v>
      </c>
      <c r="B32" s="17" t="s">
        <v>134</v>
      </c>
      <c r="C32" s="17" t="s">
        <v>147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17">
        <v>8000.0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17" t="s">
        <v>176</v>
      </c>
      <c r="B33" s="24"/>
      <c r="C33" s="24"/>
      <c r="D33" s="24"/>
      <c r="E33" s="24"/>
      <c r="F33" s="24"/>
      <c r="G33" s="17">
        <v>7000.0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17" t="s">
        <v>177</v>
      </c>
      <c r="B34" s="17" t="s">
        <v>134</v>
      </c>
      <c r="C34" s="17" t="s">
        <v>147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17">
        <v>8000.0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17" t="s">
        <v>178</v>
      </c>
      <c r="B35" s="17" t="s">
        <v>136</v>
      </c>
      <c r="C35" s="17" t="s">
        <v>151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17">
        <v>6589.0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17" t="s">
        <v>179</v>
      </c>
      <c r="B36" s="17" t="s">
        <v>134</v>
      </c>
      <c r="C36" s="17" t="s">
        <v>151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17">
        <v>8000.0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17" t="s">
        <v>180</v>
      </c>
      <c r="B37" s="17" t="s">
        <v>135</v>
      </c>
      <c r="C37" s="24"/>
      <c r="D37" s="24"/>
      <c r="E37" s="24"/>
      <c r="F37" s="24"/>
      <c r="G37" s="24"/>
      <c r="H37" s="24"/>
      <c r="I37" s="24"/>
      <c r="J37" s="17">
        <v>1000.0</v>
      </c>
      <c r="K37" s="24"/>
      <c r="L37" s="24"/>
      <c r="M37" s="17">
        <v>1000.0</v>
      </c>
      <c r="N37" s="17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17" t="s">
        <v>181</v>
      </c>
      <c r="B38" s="17" t="s">
        <v>136</v>
      </c>
      <c r="C38" s="24"/>
      <c r="D38" s="24"/>
      <c r="E38" s="24"/>
      <c r="F38" s="24"/>
      <c r="G38" s="17">
        <v>4003.0</v>
      </c>
      <c r="H38" s="24"/>
      <c r="I38" s="17">
        <v>4078.0</v>
      </c>
      <c r="J38" s="24"/>
      <c r="K38" s="24"/>
      <c r="L38" s="24"/>
      <c r="M38" s="17">
        <v>2361.0</v>
      </c>
      <c r="N38" s="17">
        <v>4287.0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17" t="s">
        <v>182</v>
      </c>
      <c r="B39" s="17" t="s">
        <v>139</v>
      </c>
      <c r="C39" s="24"/>
      <c r="D39" s="24"/>
      <c r="E39" s="24"/>
      <c r="F39" s="24"/>
      <c r="G39" s="24"/>
      <c r="H39" s="24"/>
      <c r="I39" s="17">
        <v>25000.0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17" t="s">
        <v>183</v>
      </c>
      <c r="B40" s="24"/>
      <c r="C40" s="24"/>
      <c r="D40" s="24"/>
      <c r="E40" s="17">
        <v>6190.0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17" t="s">
        <v>184</v>
      </c>
      <c r="B41" s="17" t="s">
        <v>135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7">
        <v>5000.0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17" t="s">
        <v>185</v>
      </c>
      <c r="B42" s="17" t="s">
        <v>134</v>
      </c>
      <c r="C42" s="17" t="s">
        <v>151</v>
      </c>
      <c r="D42" s="17">
        <v>338714.36</v>
      </c>
      <c r="E42" s="17">
        <v>333973.61</v>
      </c>
      <c r="F42" s="17">
        <v>333973.6</v>
      </c>
      <c r="G42" s="17">
        <v>352213.0</v>
      </c>
      <c r="H42" s="17">
        <v>351723.0</v>
      </c>
      <c r="I42" s="17">
        <v>353793.0</v>
      </c>
      <c r="J42" s="17">
        <v>353314.0</v>
      </c>
      <c r="K42" s="17">
        <v>279847.0</v>
      </c>
      <c r="L42" s="24"/>
      <c r="M42" s="17">
        <v>361123.0</v>
      </c>
      <c r="N42" s="17">
        <v>304200.0</v>
      </c>
      <c r="O42" s="17">
        <v>286450.0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17" t="s">
        <v>185</v>
      </c>
      <c r="B43" s="17" t="s">
        <v>134</v>
      </c>
      <c r="C43" s="17" t="s">
        <v>147</v>
      </c>
      <c r="D43" s="24"/>
      <c r="E43" s="24"/>
      <c r="F43" s="24"/>
      <c r="G43" s="24"/>
      <c r="H43" s="24"/>
      <c r="I43" s="24"/>
      <c r="J43" s="24"/>
      <c r="K43" s="24"/>
      <c r="L43" s="24"/>
      <c r="M43" s="17">
        <v>171058.0</v>
      </c>
      <c r="N43" s="17">
        <v>121680.0</v>
      </c>
      <c r="O43" s="17">
        <v>101100.0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17" t="s">
        <v>185</v>
      </c>
      <c r="B44" s="17" t="s">
        <v>135</v>
      </c>
      <c r="C44" s="17" t="s">
        <v>151</v>
      </c>
      <c r="D44" s="17">
        <v>105712.5</v>
      </c>
      <c r="E44" s="17">
        <v>107106.0</v>
      </c>
      <c r="F44" s="17">
        <v>114966.0</v>
      </c>
      <c r="G44" s="17">
        <v>115593.0</v>
      </c>
      <c r="H44" s="17">
        <v>116634.0</v>
      </c>
      <c r="I44" s="17">
        <v>116986.0</v>
      </c>
      <c r="J44" s="17">
        <v>117665.0</v>
      </c>
      <c r="K44" s="17">
        <v>94430.0</v>
      </c>
      <c r="L44" s="24"/>
      <c r="M44" s="17">
        <v>115435.0</v>
      </c>
      <c r="N44" s="24"/>
      <c r="O44" s="17">
        <v>110500.0</v>
      </c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17" t="s">
        <v>185</v>
      </c>
      <c r="B45" s="17" t="s">
        <v>135</v>
      </c>
      <c r="C45" s="17" t="s">
        <v>147</v>
      </c>
      <c r="D45" s="24"/>
      <c r="E45" s="24"/>
      <c r="F45" s="24"/>
      <c r="G45" s="24"/>
      <c r="H45" s="24"/>
      <c r="I45" s="24"/>
      <c r="J45" s="24"/>
      <c r="K45" s="24"/>
      <c r="L45" s="24"/>
      <c r="M45" s="17">
        <v>54680.0</v>
      </c>
      <c r="N45" s="24"/>
      <c r="O45" s="17">
        <v>39000.0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17" t="s">
        <v>185</v>
      </c>
      <c r="B46" s="17" t="s">
        <v>136</v>
      </c>
      <c r="C46" s="17" t="s">
        <v>151</v>
      </c>
      <c r="D46" s="17">
        <v>159742.59</v>
      </c>
      <c r="E46" s="17">
        <v>159395.81</v>
      </c>
      <c r="F46" s="17">
        <v>166471.0</v>
      </c>
      <c r="G46" s="17">
        <v>165513.0</v>
      </c>
      <c r="H46" s="17">
        <v>166602.0</v>
      </c>
      <c r="I46" s="17">
        <v>164408.0</v>
      </c>
      <c r="J46" s="17">
        <v>164123.0</v>
      </c>
      <c r="K46" s="24"/>
      <c r="L46" s="24"/>
      <c r="M46" s="17">
        <f>31503+66507+166267</f>
        <v>264277</v>
      </c>
      <c r="N46" s="17">
        <f>66600+99900</f>
        <v>166500</v>
      </c>
      <c r="O46" s="17">
        <v>88800.0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17" t="s">
        <v>185</v>
      </c>
      <c r="B47" s="17" t="s">
        <v>136</v>
      </c>
      <c r="C47" s="17" t="s">
        <v>147</v>
      </c>
      <c r="D47" s="24"/>
      <c r="E47" s="24"/>
      <c r="F47" s="24"/>
      <c r="G47" s="24"/>
      <c r="H47" s="24"/>
      <c r="I47" s="24"/>
      <c r="J47" s="24"/>
      <c r="K47" s="24"/>
      <c r="L47" s="24"/>
      <c r="M47" s="17">
        <v>78758.0</v>
      </c>
      <c r="N47" s="17">
        <f>26640+39960</f>
        <v>66600</v>
      </c>
      <c r="O47" s="17">
        <v>38850.0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17" t="s">
        <v>185</v>
      </c>
      <c r="B48" s="17" t="s">
        <v>137</v>
      </c>
      <c r="C48" s="17" t="s">
        <v>151</v>
      </c>
      <c r="D48" s="17">
        <v>84449.8</v>
      </c>
      <c r="E48" s="17">
        <v>81327.48</v>
      </c>
      <c r="F48" s="17">
        <v>84051.0</v>
      </c>
      <c r="G48" s="17">
        <v>83636.0</v>
      </c>
      <c r="H48" s="17">
        <v>82625.0</v>
      </c>
      <c r="I48" s="17">
        <v>82401.0</v>
      </c>
      <c r="J48" s="17">
        <v>81750.0</v>
      </c>
      <c r="K48" s="17">
        <v>128319.0</v>
      </c>
      <c r="L48" s="24"/>
      <c r="M48" s="17">
        <v>74594.0</v>
      </c>
      <c r="N48" s="17">
        <v>74700.0</v>
      </c>
      <c r="O48" s="17">
        <v>68000.0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17" t="s">
        <v>185</v>
      </c>
      <c r="B49" s="17" t="s">
        <v>137</v>
      </c>
      <c r="C49" s="17" t="s">
        <v>147</v>
      </c>
      <c r="D49" s="24"/>
      <c r="E49" s="24"/>
      <c r="F49" s="24"/>
      <c r="G49" s="24"/>
      <c r="H49" s="24"/>
      <c r="I49" s="24"/>
      <c r="J49" s="24"/>
      <c r="K49" s="17">
        <v>63596.0</v>
      </c>
      <c r="L49" s="24"/>
      <c r="M49" s="17">
        <v>35334.0</v>
      </c>
      <c r="N49" s="17">
        <v>29880.0</v>
      </c>
      <c r="O49" s="17">
        <v>24000.0</v>
      </c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17" t="s">
        <v>185</v>
      </c>
      <c r="B50" s="17" t="s">
        <v>138</v>
      </c>
      <c r="C50" s="17" t="s">
        <v>151</v>
      </c>
      <c r="D50" s="17">
        <v>178840.0</v>
      </c>
      <c r="E50" s="17">
        <v>185292.0</v>
      </c>
      <c r="F50" s="17">
        <v>197358.0</v>
      </c>
      <c r="G50" s="17">
        <v>198607.0</v>
      </c>
      <c r="H50" s="17">
        <v>198265.0</v>
      </c>
      <c r="I50" s="17">
        <v>199414.0</v>
      </c>
      <c r="J50" s="17">
        <v>200364.0</v>
      </c>
      <c r="K50" s="17">
        <v>158954.0</v>
      </c>
      <c r="L50" s="24"/>
      <c r="M50" s="17">
        <v>205002.0</v>
      </c>
      <c r="N50" s="17">
        <v>209700.0</v>
      </c>
      <c r="O50" s="17">
        <v>202300.0</v>
      </c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17" t="s">
        <v>185</v>
      </c>
      <c r="B51" s="17" t="s">
        <v>138</v>
      </c>
      <c r="C51" s="17" t="s">
        <v>147</v>
      </c>
      <c r="D51" s="24"/>
      <c r="E51" s="24"/>
      <c r="F51" s="24"/>
      <c r="G51" s="24"/>
      <c r="H51" s="24"/>
      <c r="I51" s="24"/>
      <c r="J51" s="24"/>
      <c r="K51" s="24"/>
      <c r="L51" s="24"/>
      <c r="M51" s="17">
        <v>97106.0</v>
      </c>
      <c r="N51" s="17">
        <v>83880.0</v>
      </c>
      <c r="O51" s="17">
        <v>71400.0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17" t="s">
        <v>185</v>
      </c>
      <c r="B52" s="17" t="s">
        <v>139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17">
        <v>3500.0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17" t="s">
        <v>185</v>
      </c>
      <c r="B53" s="17" t="s">
        <v>139</v>
      </c>
      <c r="C53" s="17" t="s">
        <v>151</v>
      </c>
      <c r="D53" s="17">
        <v>33540.9</v>
      </c>
      <c r="E53" s="17">
        <v>32905.53</v>
      </c>
      <c r="F53" s="17">
        <v>34145.0</v>
      </c>
      <c r="G53" s="17">
        <v>34438.0</v>
      </c>
      <c r="H53" s="17">
        <v>34122.0</v>
      </c>
      <c r="I53" s="17">
        <v>33358.0</v>
      </c>
      <c r="J53" s="17">
        <v>32830.0</v>
      </c>
      <c r="K53" s="17">
        <v>25854.0</v>
      </c>
      <c r="L53" s="24"/>
      <c r="M53" s="17">
        <v>27579.0</v>
      </c>
      <c r="N53" s="17">
        <v>27900.0</v>
      </c>
      <c r="O53" s="17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17" t="s">
        <v>185</v>
      </c>
      <c r="B54" s="17" t="s">
        <v>139</v>
      </c>
      <c r="C54" s="17" t="s">
        <v>147</v>
      </c>
      <c r="D54" s="24"/>
      <c r="E54" s="24"/>
      <c r="F54" s="24"/>
      <c r="G54" s="24"/>
      <c r="H54" s="24"/>
      <c r="I54" s="24"/>
      <c r="J54" s="24"/>
      <c r="K54" s="24"/>
      <c r="L54" s="24"/>
      <c r="M54" s="17">
        <v>13064.0</v>
      </c>
      <c r="N54" s="17">
        <v>11680.0</v>
      </c>
      <c r="O54" s="17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17" t="s">
        <v>185</v>
      </c>
      <c r="B55" s="17" t="s">
        <v>138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17">
        <v>60000.0</v>
      </c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17" t="s">
        <v>186</v>
      </c>
      <c r="B56" s="17" t="s">
        <v>140</v>
      </c>
      <c r="C56" s="17" t="s">
        <v>187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17">
        <v>30000.0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17" t="s">
        <v>186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17">
        <v>600000.0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17" t="s">
        <v>188</v>
      </c>
      <c r="B58" s="17" t="s">
        <v>134</v>
      </c>
      <c r="C58" s="17" t="s">
        <v>151</v>
      </c>
      <c r="D58" s="24"/>
      <c r="E58" s="24"/>
      <c r="F58" s="24"/>
      <c r="G58" s="24"/>
      <c r="H58" s="24"/>
      <c r="I58" s="17">
        <v>5000.0</v>
      </c>
      <c r="J58" s="17"/>
      <c r="K58" s="24"/>
      <c r="L58" s="24"/>
      <c r="M58" s="17"/>
      <c r="N58" s="17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17" t="s">
        <v>189</v>
      </c>
      <c r="B59" s="24"/>
      <c r="C59" s="24"/>
      <c r="D59" s="24"/>
      <c r="E59" s="24"/>
      <c r="F59" s="24"/>
      <c r="G59" s="24"/>
      <c r="H59" s="17">
        <v>7007.0</v>
      </c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17" t="s">
        <v>144</v>
      </c>
      <c r="B60" s="17" t="s">
        <v>136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17">
        <v>5079.0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17" t="s">
        <v>144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17">
        <v>950000.0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17" t="s">
        <v>190</v>
      </c>
      <c r="B62" s="24"/>
      <c r="C62" s="24"/>
      <c r="D62" s="24"/>
      <c r="E62" s="24"/>
      <c r="F62" s="24"/>
      <c r="G62" s="24"/>
      <c r="H62" s="24"/>
      <c r="I62" s="24"/>
      <c r="J62" s="24">
        <f>8000+15000</f>
        <v>23000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17" t="s">
        <v>191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17">
        <v>450000.0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17" t="s">
        <v>192</v>
      </c>
      <c r="B64" s="24"/>
      <c r="C64" s="24"/>
      <c r="D64" s="24"/>
      <c r="E64" s="24"/>
      <c r="F64" s="17">
        <v>5000.0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17" t="s">
        <v>193</v>
      </c>
      <c r="B65" s="17" t="s">
        <v>135</v>
      </c>
      <c r="C65" s="24"/>
      <c r="D65" s="24"/>
      <c r="E65" s="17">
        <v>1000.0</v>
      </c>
      <c r="F65" s="17">
        <v>1000.0</v>
      </c>
      <c r="G65" s="24"/>
      <c r="H65" s="24"/>
      <c r="I65" s="24"/>
      <c r="J65" s="24"/>
      <c r="K65" s="17">
        <v>1000.0</v>
      </c>
      <c r="L65" s="17">
        <v>1000.0</v>
      </c>
      <c r="M65" s="17">
        <v>1000.0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17" t="s">
        <v>194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17">
        <v>10000.0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17" t="s">
        <v>195</v>
      </c>
      <c r="B67" s="17" t="s">
        <v>138</v>
      </c>
      <c r="C67" s="17" t="s">
        <v>151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17">
        <v>10000.0</v>
      </c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17" t="s">
        <v>196</v>
      </c>
      <c r="B68" s="24"/>
      <c r="C68" s="24"/>
      <c r="D68" s="17">
        <v>7100.0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17" t="s">
        <v>197</v>
      </c>
      <c r="B69" s="24"/>
      <c r="C69" s="24"/>
      <c r="D69" s="17">
        <v>7000.0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</sheetData>
  <autoFilter ref="$D$2:$P$6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8.63"/>
    <col customWidth="1" min="3" max="3" width="21.0"/>
  </cols>
  <sheetData>
    <row r="1">
      <c r="A1" s="6"/>
      <c r="B1" s="4" t="s">
        <v>133</v>
      </c>
      <c r="C1" s="6"/>
      <c r="D1" s="74">
        <v>2013.0</v>
      </c>
      <c r="E1" s="74">
        <v>2014.0</v>
      </c>
      <c r="F1" s="74">
        <v>2015.0</v>
      </c>
      <c r="G1" s="74">
        <v>2016.0</v>
      </c>
      <c r="H1" s="74">
        <v>2017.0</v>
      </c>
      <c r="I1" s="74">
        <v>2018.0</v>
      </c>
      <c r="J1" s="74">
        <v>2019.0</v>
      </c>
      <c r="K1" s="74">
        <v>2020.0</v>
      </c>
      <c r="L1" s="74">
        <v>2021.0</v>
      </c>
      <c r="M1" s="74">
        <v>2022.0</v>
      </c>
      <c r="N1" s="74">
        <v>2023.0</v>
      </c>
      <c r="O1" s="74">
        <v>2024.0</v>
      </c>
      <c r="P1" s="5">
        <v>2025.0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5" t="s">
        <v>198</v>
      </c>
      <c r="B2" s="6"/>
      <c r="C2" s="6"/>
      <c r="D2" s="6">
        <f t="shared" ref="D2:P2" si="1">SUM(D3:D33)</f>
        <v>2920000</v>
      </c>
      <c r="E2" s="6">
        <f t="shared" si="1"/>
        <v>3015000</v>
      </c>
      <c r="F2" s="6">
        <f t="shared" si="1"/>
        <v>3210000</v>
      </c>
      <c r="G2" s="6">
        <f t="shared" si="1"/>
        <v>3010000</v>
      </c>
      <c r="H2" s="6">
        <f t="shared" si="1"/>
        <v>2660000</v>
      </c>
      <c r="I2" s="6">
        <f t="shared" si="1"/>
        <v>2660000</v>
      </c>
      <c r="J2" s="6">
        <f t="shared" si="1"/>
        <v>2720000</v>
      </c>
      <c r="K2" s="6">
        <f t="shared" si="1"/>
        <v>2660000</v>
      </c>
      <c r="L2" s="6">
        <f t="shared" si="1"/>
        <v>2951800</v>
      </c>
      <c r="M2" s="6">
        <f t="shared" si="1"/>
        <v>2750935</v>
      </c>
      <c r="N2" s="6">
        <f t="shared" si="1"/>
        <v>2750935</v>
      </c>
      <c r="O2" s="6">
        <f t="shared" si="1"/>
        <v>2825935</v>
      </c>
      <c r="P2" s="6">
        <f t="shared" si="1"/>
        <v>2800335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198</v>
      </c>
      <c r="B3" s="4" t="s">
        <v>199</v>
      </c>
      <c r="C3" s="6"/>
      <c r="D3" s="4">
        <v>1600000.0</v>
      </c>
      <c r="E3" s="4">
        <v>1700000.0</v>
      </c>
      <c r="F3" s="4">
        <v>1700000.0</v>
      </c>
      <c r="G3" s="4">
        <v>1700000.0</v>
      </c>
      <c r="H3" s="4">
        <v>1700000.0</v>
      </c>
      <c r="I3" s="4">
        <v>1700000.0</v>
      </c>
      <c r="J3" s="4">
        <v>1700000.0</v>
      </c>
      <c r="K3" s="4">
        <v>1700000.0</v>
      </c>
      <c r="L3" s="4">
        <v>1700000.0</v>
      </c>
      <c r="M3" s="4">
        <v>1700000.0</v>
      </c>
      <c r="N3" s="4">
        <v>1700000.0</v>
      </c>
      <c r="O3" s="4">
        <v>1700000.0</v>
      </c>
      <c r="P3" s="4">
        <v>1700000.0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198</v>
      </c>
      <c r="B4" s="4" t="s">
        <v>135</v>
      </c>
      <c r="C4" s="6"/>
      <c r="D4" s="6"/>
      <c r="E4" s="6"/>
      <c r="F4" s="6"/>
      <c r="G4" s="6"/>
      <c r="H4" s="6"/>
      <c r="I4" s="6"/>
      <c r="J4" s="6"/>
      <c r="K4" s="6"/>
      <c r="L4" s="4">
        <v>185000.0</v>
      </c>
      <c r="M4" s="4">
        <v>185200.0</v>
      </c>
      <c r="N4" s="4">
        <v>185200.0</v>
      </c>
      <c r="O4" s="4">
        <v>185200.0</v>
      </c>
      <c r="P4" s="4">
        <v>234600.0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198</v>
      </c>
      <c r="B5" s="4" t="s">
        <v>138</v>
      </c>
      <c r="C5" s="4" t="s">
        <v>200</v>
      </c>
      <c r="D5" s="4">
        <v>350000.0</v>
      </c>
      <c r="E5" s="4">
        <v>350000.0</v>
      </c>
      <c r="F5" s="4">
        <v>550000.0</v>
      </c>
      <c r="G5" s="4">
        <v>350000.0</v>
      </c>
      <c r="H5" s="6"/>
      <c r="I5" s="6"/>
      <c r="J5" s="6"/>
      <c r="K5" s="6"/>
      <c r="L5" s="6"/>
      <c r="M5" s="4">
        <v>85735.0</v>
      </c>
      <c r="N5" s="4">
        <v>85735.0</v>
      </c>
      <c r="O5" s="4">
        <v>85735.0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198</v>
      </c>
      <c r="B6" s="4" t="s">
        <v>137</v>
      </c>
      <c r="C6" s="6"/>
      <c r="D6" s="6"/>
      <c r="E6" s="6"/>
      <c r="F6" s="6"/>
      <c r="G6" s="6"/>
      <c r="H6" s="6"/>
      <c r="I6" s="6"/>
      <c r="J6" s="6"/>
      <c r="K6" s="6"/>
      <c r="L6" s="4">
        <v>156800.0</v>
      </c>
      <c r="M6" s="6"/>
      <c r="N6" s="6"/>
      <c r="O6" s="4">
        <v>50000.0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198</v>
      </c>
      <c r="B7" s="4" t="s">
        <v>139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4">
        <v>25000.0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198</v>
      </c>
      <c r="B8" s="4" t="s">
        <v>134</v>
      </c>
      <c r="C8" s="6"/>
      <c r="D8" s="4">
        <v>700000.0</v>
      </c>
      <c r="E8" s="4">
        <v>700000.0</v>
      </c>
      <c r="F8" s="4">
        <v>700000.0</v>
      </c>
      <c r="G8" s="4">
        <v>700000.0</v>
      </c>
      <c r="H8" s="4">
        <v>700000.0</v>
      </c>
      <c r="I8" s="4">
        <v>700000.0</v>
      </c>
      <c r="J8" s="4">
        <v>700000.0</v>
      </c>
      <c r="K8" s="4">
        <v>700000.0</v>
      </c>
      <c r="L8" s="4">
        <v>700000.0</v>
      </c>
      <c r="M8" s="4">
        <v>700000.0</v>
      </c>
      <c r="N8" s="4">
        <v>700000.0</v>
      </c>
      <c r="O8" s="4">
        <v>700000.0</v>
      </c>
      <c r="P8" s="4">
        <v>700000.0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198</v>
      </c>
      <c r="B9" s="4" t="s">
        <v>135</v>
      </c>
      <c r="C9" s="4" t="s">
        <v>200</v>
      </c>
      <c r="D9" s="6"/>
      <c r="E9" s="6"/>
      <c r="F9" s="6"/>
      <c r="G9" s="6"/>
      <c r="H9" s="6"/>
      <c r="I9" s="6"/>
      <c r="J9" s="4">
        <v>80000.0</v>
      </c>
      <c r="K9" s="4">
        <v>80000.0</v>
      </c>
      <c r="L9" s="4">
        <v>80000.0</v>
      </c>
      <c r="M9" s="4">
        <v>80000.0</v>
      </c>
      <c r="N9" s="4">
        <v>80000.0</v>
      </c>
      <c r="O9" s="4">
        <v>80000.0</v>
      </c>
      <c r="P9" s="4">
        <v>80000.0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 t="s">
        <v>201</v>
      </c>
      <c r="B10" s="3" t="s">
        <v>136</v>
      </c>
      <c r="C10" s="4" t="s">
        <v>200</v>
      </c>
      <c r="D10" s="4">
        <v>270000.0</v>
      </c>
      <c r="E10" s="4">
        <v>265000.0</v>
      </c>
      <c r="F10" s="4">
        <v>260000.0</v>
      </c>
      <c r="G10" s="4">
        <v>260000.0</v>
      </c>
      <c r="H10" s="4">
        <v>260000.0</v>
      </c>
      <c r="I10" s="4">
        <v>260000.0</v>
      </c>
      <c r="J10" s="4">
        <v>240000.0</v>
      </c>
      <c r="K10" s="4">
        <v>180000.0</v>
      </c>
      <c r="L10" s="4">
        <v>130000.0</v>
      </c>
      <c r="M10" s="6"/>
      <c r="N10" s="6"/>
      <c r="O10" s="6"/>
      <c r="P10" s="3">
        <v>85735.0</v>
      </c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6"/>
      <c r="B1" s="4" t="s">
        <v>133</v>
      </c>
      <c r="C1" s="6"/>
      <c r="D1" s="74">
        <v>2013.0</v>
      </c>
      <c r="E1" s="74">
        <v>2014.0</v>
      </c>
      <c r="F1" s="74">
        <v>2015.0</v>
      </c>
      <c r="G1" s="74">
        <v>2016.0</v>
      </c>
      <c r="H1" s="74">
        <v>2017.0</v>
      </c>
      <c r="I1" s="74">
        <v>2018.0</v>
      </c>
      <c r="J1" s="74">
        <v>2019.0</v>
      </c>
      <c r="K1" s="74">
        <v>2020.0</v>
      </c>
      <c r="L1" s="74">
        <v>2021.0</v>
      </c>
      <c r="M1" s="74">
        <v>2022.0</v>
      </c>
      <c r="N1" s="74">
        <v>2023.0</v>
      </c>
      <c r="O1" s="74">
        <v>2024.0</v>
      </c>
      <c r="P1" s="5">
        <v>2025.0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3">
      <c r="A3" s="3" t="s">
        <v>202</v>
      </c>
      <c r="B3" s="3" t="s">
        <v>136</v>
      </c>
      <c r="D3" s="4"/>
      <c r="E3" s="6"/>
      <c r="F3" s="6"/>
      <c r="G3" s="6"/>
      <c r="H3" s="6"/>
      <c r="I3" s="6"/>
      <c r="J3" s="6"/>
      <c r="K3" s="6"/>
      <c r="L3" s="6"/>
      <c r="M3" s="4">
        <v>16000.0</v>
      </c>
      <c r="N3" s="4">
        <v>23000.0</v>
      </c>
      <c r="O3" s="4">
        <v>20000.0</v>
      </c>
      <c r="P3" s="4">
        <v>26000.0</v>
      </c>
    </row>
    <row r="4">
      <c r="A4" s="3" t="s">
        <v>203</v>
      </c>
      <c r="B4" s="3" t="s">
        <v>136</v>
      </c>
      <c r="D4" s="4">
        <v>27300.0</v>
      </c>
      <c r="E4" s="4">
        <v>27300.0</v>
      </c>
      <c r="F4" s="4">
        <v>26650.0</v>
      </c>
      <c r="G4" s="4">
        <v>27300.0</v>
      </c>
      <c r="H4" s="4">
        <v>27300.0</v>
      </c>
      <c r="I4" s="4">
        <v>27300.0</v>
      </c>
      <c r="J4" s="4">
        <v>27300.0</v>
      </c>
      <c r="K4" s="4">
        <v>27300.0</v>
      </c>
      <c r="L4" s="4">
        <v>27300.0</v>
      </c>
      <c r="M4" s="4">
        <v>30000.0</v>
      </c>
      <c r="N4" s="4">
        <v>30000.0</v>
      </c>
      <c r="O4" s="4">
        <v>31000.0</v>
      </c>
      <c r="P4" s="4">
        <v>42000.0</v>
      </c>
    </row>
    <row r="5">
      <c r="A5" s="3" t="s">
        <v>204</v>
      </c>
      <c r="B5" s="3" t="s">
        <v>136</v>
      </c>
      <c r="D5" s="4"/>
      <c r="E5" s="6"/>
      <c r="F5" s="4">
        <v>24050.0</v>
      </c>
      <c r="G5" s="4">
        <v>42900.0</v>
      </c>
      <c r="H5" s="4">
        <v>44200.0</v>
      </c>
      <c r="I5" s="4">
        <v>44200.0</v>
      </c>
      <c r="J5" s="4">
        <v>44200.0</v>
      </c>
      <c r="K5" s="4">
        <v>44200.0</v>
      </c>
      <c r="L5" s="4">
        <v>44200.0</v>
      </c>
      <c r="M5" s="4">
        <v>37000.0</v>
      </c>
      <c r="N5" s="4">
        <v>39000.0</v>
      </c>
      <c r="O5" s="4">
        <v>35000.0</v>
      </c>
      <c r="P5" s="4">
        <v>50000.0</v>
      </c>
    </row>
    <row r="6">
      <c r="A6" s="3" t="s">
        <v>205</v>
      </c>
      <c r="B6" s="3" t="s">
        <v>136</v>
      </c>
      <c r="D6" s="4">
        <v>23400.0</v>
      </c>
      <c r="E6" s="4">
        <v>29250.0</v>
      </c>
      <c r="F6" s="4">
        <v>28600.0</v>
      </c>
      <c r="G6" s="4">
        <v>29900.0</v>
      </c>
      <c r="H6" s="4">
        <v>29900.0</v>
      </c>
      <c r="I6" s="4">
        <v>29900.0</v>
      </c>
      <c r="J6" s="4">
        <v>29900.0</v>
      </c>
      <c r="K6" s="4">
        <v>29900.0</v>
      </c>
      <c r="L6" s="4">
        <v>29900.0</v>
      </c>
      <c r="M6" s="4">
        <v>29000.0</v>
      </c>
      <c r="N6" s="4">
        <v>32000.0</v>
      </c>
      <c r="O6" s="4">
        <v>29000.0</v>
      </c>
      <c r="P6" s="4">
        <v>38000.0</v>
      </c>
    </row>
    <row r="7">
      <c r="A7" s="4" t="s">
        <v>206</v>
      </c>
      <c r="B7" s="3" t="s">
        <v>136</v>
      </c>
      <c r="C7" s="6"/>
      <c r="D7" s="6"/>
      <c r="E7" s="6"/>
      <c r="F7" s="6"/>
      <c r="G7" s="6"/>
      <c r="H7" s="4">
        <v>37700.0</v>
      </c>
      <c r="I7" s="4">
        <v>48750.0</v>
      </c>
      <c r="J7" s="4">
        <v>48750.0</v>
      </c>
      <c r="K7" s="4">
        <v>48750.0</v>
      </c>
      <c r="L7" s="4">
        <v>48750.0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8.63"/>
    <col customWidth="1" min="3" max="3" width="21.0"/>
  </cols>
  <sheetData>
    <row r="1">
      <c r="A1" s="6"/>
      <c r="B1" s="4" t="s">
        <v>133</v>
      </c>
      <c r="C1" s="6"/>
      <c r="D1" s="74">
        <v>2013.0</v>
      </c>
      <c r="E1" s="74">
        <v>2014.0</v>
      </c>
      <c r="F1" s="74">
        <v>2015.0</v>
      </c>
      <c r="G1" s="74">
        <v>2016.0</v>
      </c>
      <c r="H1" s="74">
        <v>2017.0</v>
      </c>
      <c r="I1" s="74">
        <v>2018.0</v>
      </c>
      <c r="J1" s="74">
        <v>2019.0</v>
      </c>
      <c r="K1" s="74">
        <v>2020.0</v>
      </c>
      <c r="L1" s="74">
        <v>2021.0</v>
      </c>
      <c r="M1" s="74">
        <v>2022.0</v>
      </c>
      <c r="N1" s="74">
        <v>2023.0</v>
      </c>
      <c r="O1" s="74">
        <v>2024.0</v>
      </c>
      <c r="P1" s="5">
        <v>2025.0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7.25" customHeight="1">
      <c r="A3" s="4" t="s">
        <v>207</v>
      </c>
      <c r="B3" s="4" t="s">
        <v>136</v>
      </c>
      <c r="C3" s="6"/>
      <c r="D3" s="4">
        <v>800000.0</v>
      </c>
      <c r="E3" s="4">
        <f t="shared" ref="E3:F3" si="1">775000+150000</f>
        <v>925000</v>
      </c>
      <c r="F3" s="4">
        <f t="shared" si="1"/>
        <v>925000</v>
      </c>
      <c r="G3" s="6">
        <f>725000</f>
        <v>725000</v>
      </c>
      <c r="H3" s="4">
        <f>775000+150000</f>
        <v>925000</v>
      </c>
      <c r="I3" s="4">
        <v>904000.0</v>
      </c>
      <c r="J3" s="4">
        <v>775000.0</v>
      </c>
      <c r="K3" s="4">
        <f>775000+150000</f>
        <v>925000</v>
      </c>
      <c r="L3" s="4">
        <v>975000.0</v>
      </c>
      <c r="M3" s="6">
        <f>975000+150000</f>
        <v>1125000</v>
      </c>
      <c r="N3" s="6">
        <f>160000+975000</f>
        <v>1135000</v>
      </c>
      <c r="O3" s="4">
        <v>750000.0</v>
      </c>
      <c r="P3" s="6">
        <f>775000+150000</f>
        <v>925000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/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208</v>
      </c>
      <c r="B5" s="4" t="s">
        <v>138</v>
      </c>
      <c r="C5" s="6"/>
      <c r="D5" s="4">
        <v>100000.0</v>
      </c>
      <c r="E5" s="4">
        <v>150000.0</v>
      </c>
      <c r="F5" s="4">
        <v>150000.0</v>
      </c>
      <c r="G5" s="4">
        <v>150000.0</v>
      </c>
      <c r="H5" s="4">
        <v>150000.0</v>
      </c>
      <c r="I5" s="4">
        <v>150000.0</v>
      </c>
      <c r="J5" s="4">
        <v>150000.0</v>
      </c>
      <c r="K5" s="4">
        <v>350000.0</v>
      </c>
      <c r="L5" s="4">
        <v>350000.0</v>
      </c>
      <c r="M5" s="4">
        <v>350000.0</v>
      </c>
      <c r="N5" s="6">
        <f>450000+3000</f>
        <v>453000</v>
      </c>
      <c r="O5" s="4">
        <v>400000.0</v>
      </c>
      <c r="P5" s="4">
        <v>500000.0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209</v>
      </c>
      <c r="B6" s="4" t="s">
        <v>134</v>
      </c>
      <c r="C6" s="6"/>
      <c r="D6" s="4">
        <v>220000.0</v>
      </c>
      <c r="E6" s="4">
        <v>220000.0</v>
      </c>
      <c r="F6" s="4">
        <v>220000.0</v>
      </c>
      <c r="G6" s="4">
        <v>230000.0</v>
      </c>
      <c r="H6" s="4">
        <v>220000.0</v>
      </c>
      <c r="I6" s="4">
        <v>440000.0</v>
      </c>
      <c r="J6" s="4">
        <v>220000.0</v>
      </c>
      <c r="K6" s="4">
        <v>226000.0</v>
      </c>
      <c r="L6" s="4">
        <v>200000.0</v>
      </c>
      <c r="M6" s="4">
        <v>200000.0</v>
      </c>
      <c r="N6" s="4">
        <v>220000.0</v>
      </c>
      <c r="O6" s="4">
        <v>250000.0</v>
      </c>
      <c r="P6" s="4">
        <v>260000.0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 t="s">
        <v>210</v>
      </c>
      <c r="B7" s="4" t="s">
        <v>135</v>
      </c>
      <c r="C7" s="6"/>
      <c r="D7" s="4">
        <v>300000.0</v>
      </c>
      <c r="E7" s="4">
        <v>320000.0</v>
      </c>
      <c r="F7" s="4">
        <v>320000.0</v>
      </c>
      <c r="G7" s="4">
        <v>400000.0</v>
      </c>
      <c r="H7" s="4">
        <v>400000.0</v>
      </c>
      <c r="I7" s="4">
        <v>400000.0</v>
      </c>
      <c r="J7" s="4">
        <v>430000.0</v>
      </c>
      <c r="K7" s="4">
        <v>400000.0</v>
      </c>
      <c r="L7" s="4">
        <v>410000.0</v>
      </c>
      <c r="M7" s="4">
        <v>410000.0</v>
      </c>
      <c r="N7" s="4">
        <v>410000.0</v>
      </c>
      <c r="O7" s="4">
        <f>425000+9100</f>
        <v>434100</v>
      </c>
      <c r="P7" s="4">
        <v>435500.0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4"/>
      <c r="N8" s="4"/>
      <c r="O8" s="4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211</v>
      </c>
      <c r="B9" s="4" t="s">
        <v>138</v>
      </c>
      <c r="C9" s="6"/>
      <c r="D9" s="4">
        <v>500000.0</v>
      </c>
      <c r="E9" s="4">
        <f>260000+500000</f>
        <v>760000</v>
      </c>
      <c r="F9" s="4">
        <f>500000</f>
        <v>500000</v>
      </c>
      <c r="G9" s="4">
        <v>300000.0</v>
      </c>
      <c r="H9" s="4">
        <v>400000.0</v>
      </c>
      <c r="I9" s="4">
        <v>400000.0</v>
      </c>
      <c r="J9" s="4">
        <v>400000.0</v>
      </c>
      <c r="K9" s="4">
        <v>300000.0</v>
      </c>
      <c r="L9" s="6">
        <f>400000</f>
        <v>400000</v>
      </c>
      <c r="M9" s="4">
        <v>450000.0</v>
      </c>
      <c r="N9" s="4">
        <f>200000+90000</f>
        <v>290000</v>
      </c>
      <c r="O9" s="4">
        <v>350000.0</v>
      </c>
      <c r="P9" s="4">
        <v>317600.0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212</v>
      </c>
      <c r="B10" s="4"/>
      <c r="C10" s="6"/>
      <c r="D10" s="6"/>
      <c r="E10" s="4">
        <v>105000.0</v>
      </c>
      <c r="F10" s="4">
        <v>105000.0</v>
      </c>
      <c r="G10" s="4">
        <v>95000.0</v>
      </c>
      <c r="H10" s="4">
        <v>90000.0</v>
      </c>
      <c r="I10" s="6"/>
      <c r="J10" s="4">
        <v>90000.0</v>
      </c>
      <c r="K10" s="4">
        <v>95000.0</v>
      </c>
      <c r="L10" s="6"/>
      <c r="M10" s="4">
        <v>90000.0</v>
      </c>
      <c r="N10" s="4">
        <v>90000.0</v>
      </c>
      <c r="P10" s="4">
        <v>100000.0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 t="s">
        <v>213</v>
      </c>
      <c r="B11" s="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4">
        <v>100000.0</v>
      </c>
      <c r="P11" s="4">
        <v>120000.0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/>
      <c r="B12" s="4"/>
      <c r="C12" s="6"/>
      <c r="D12" s="6"/>
      <c r="E12" s="6"/>
      <c r="F12" s="6"/>
      <c r="G12" s="6"/>
      <c r="H12" s="4"/>
      <c r="I12" s="6"/>
      <c r="J12" s="6"/>
      <c r="K12" s="6"/>
      <c r="L12" s="6"/>
      <c r="M12" s="6"/>
      <c r="N12" s="6"/>
      <c r="O12" s="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4" t="s">
        <v>133</v>
      </c>
      <c r="C1" s="6"/>
      <c r="D1" s="74">
        <v>2013.0</v>
      </c>
      <c r="E1" s="74">
        <v>2014.0</v>
      </c>
      <c r="F1" s="74">
        <v>2015.0</v>
      </c>
      <c r="G1" s="74">
        <v>2016.0</v>
      </c>
      <c r="H1" s="74">
        <v>2017.0</v>
      </c>
      <c r="I1" s="74">
        <v>2018.0</v>
      </c>
      <c r="J1" s="74">
        <v>2019.0</v>
      </c>
      <c r="K1" s="74">
        <v>2020.0</v>
      </c>
      <c r="L1" s="74">
        <v>2021.0</v>
      </c>
      <c r="M1" s="74">
        <v>2022.0</v>
      </c>
      <c r="N1" s="74">
        <v>2023.0</v>
      </c>
      <c r="O1" s="74">
        <v>2024.0</v>
      </c>
      <c r="P1" s="5">
        <v>2025.0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4" t="s">
        <v>214</v>
      </c>
      <c r="B2" s="6"/>
      <c r="C2" s="6"/>
      <c r="D2" s="4">
        <v>570000.0</v>
      </c>
      <c r="E2" s="4">
        <v>570000.0</v>
      </c>
      <c r="F2" s="4">
        <v>570000.0</v>
      </c>
      <c r="G2" s="4">
        <v>570000.0</v>
      </c>
      <c r="H2" s="4">
        <v>570000.0</v>
      </c>
      <c r="I2" s="4">
        <v>580000.0</v>
      </c>
      <c r="J2" s="4">
        <v>570000.0</v>
      </c>
      <c r="K2" s="4">
        <v>580000.0</v>
      </c>
      <c r="L2" s="4">
        <f>580000+250000</f>
        <v>830000</v>
      </c>
      <c r="M2" s="6">
        <f>580000</f>
        <v>580000</v>
      </c>
      <c r="N2" s="4">
        <f>215000+580000</f>
        <v>795000</v>
      </c>
      <c r="O2" s="6">
        <f>580000+75000</f>
        <v>655000</v>
      </c>
      <c r="P2" s="6">
        <f>660000+175000</f>
        <v>835000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4" t="s">
        <v>215</v>
      </c>
      <c r="B3" s="6"/>
      <c r="C3" s="6"/>
      <c r="D3" s="4">
        <v>190000.0</v>
      </c>
      <c r="E3" s="4">
        <v>200000.0</v>
      </c>
      <c r="F3" s="4">
        <v>210000.0</v>
      </c>
      <c r="G3" s="4">
        <v>230000.0</v>
      </c>
      <c r="H3" s="4">
        <v>250000.0</v>
      </c>
      <c r="I3" s="4">
        <v>250000.0</v>
      </c>
      <c r="J3" s="4">
        <v>280000.0</v>
      </c>
      <c r="K3" s="4">
        <v>300000.0</v>
      </c>
      <c r="L3" s="4">
        <v>283000.0</v>
      </c>
      <c r="M3" s="4">
        <v>350000.0</v>
      </c>
      <c r="N3" s="4">
        <v>350000.0</v>
      </c>
      <c r="O3" s="4">
        <v>350000.0</v>
      </c>
      <c r="P3" s="4">
        <v>375000.0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216</v>
      </c>
      <c r="B4" s="6"/>
      <c r="C4" s="6"/>
      <c r="D4" s="4">
        <v>350000.0</v>
      </c>
      <c r="E4" s="4">
        <v>350000.0</v>
      </c>
      <c r="F4" s="4">
        <v>350000.0</v>
      </c>
      <c r="G4" s="4">
        <v>350000.0</v>
      </c>
      <c r="H4" s="4">
        <v>390000.0</v>
      </c>
      <c r="I4" s="4">
        <v>350000.0</v>
      </c>
      <c r="J4" s="4">
        <v>300000.0</v>
      </c>
      <c r="K4" s="4">
        <v>300000.0</v>
      </c>
      <c r="L4" s="4">
        <v>300000.0</v>
      </c>
      <c r="M4" s="4">
        <v>300000.0</v>
      </c>
      <c r="N4" s="4">
        <v>300000.0</v>
      </c>
      <c r="O4" s="4">
        <v>300000.0</v>
      </c>
      <c r="P4" s="4">
        <v>380000.0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217</v>
      </c>
      <c r="B5" s="6"/>
      <c r="C5" s="6"/>
      <c r="D5" s="4">
        <v>300000.0</v>
      </c>
      <c r="E5" s="4">
        <v>300000.0</v>
      </c>
      <c r="F5" s="4">
        <v>300000.0</v>
      </c>
      <c r="G5" s="4">
        <v>300000.0</v>
      </c>
      <c r="H5" s="4">
        <v>300000.0</v>
      </c>
      <c r="I5" s="4">
        <v>300000.0</v>
      </c>
      <c r="J5" s="4">
        <v>300000.0</v>
      </c>
      <c r="K5" s="4">
        <v>300000.0</v>
      </c>
      <c r="L5" s="4">
        <v>300000.0</v>
      </c>
      <c r="M5" s="4">
        <v>400000.0</v>
      </c>
      <c r="N5" s="4">
        <v>300000.0</v>
      </c>
      <c r="O5" s="6">
        <f>350000</f>
        <v>350000</v>
      </c>
      <c r="P5" s="4">
        <v>400000.0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</cols>
  <sheetData>
    <row r="1">
      <c r="A1" s="6"/>
      <c r="B1" s="4" t="s">
        <v>133</v>
      </c>
      <c r="C1" s="6"/>
      <c r="D1" s="74">
        <v>2013.0</v>
      </c>
      <c r="E1" s="74">
        <v>2014.0</v>
      </c>
      <c r="F1" s="74">
        <v>2015.0</v>
      </c>
      <c r="G1" s="74">
        <v>2016.0</v>
      </c>
      <c r="H1" s="74">
        <v>2017.0</v>
      </c>
      <c r="I1" s="74">
        <v>2018.0</v>
      </c>
      <c r="J1" s="74">
        <v>2019.0</v>
      </c>
      <c r="K1" s="74">
        <v>2020.0</v>
      </c>
      <c r="L1" s="74">
        <v>2021.0</v>
      </c>
      <c r="M1" s="74">
        <v>2022.0</v>
      </c>
      <c r="N1" s="74">
        <v>2023.0</v>
      </c>
      <c r="O1" s="74">
        <v>2024.0</v>
      </c>
      <c r="P1" s="5">
        <v>2025.0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3">
      <c r="A3" s="4" t="s">
        <v>218</v>
      </c>
      <c r="B3" s="4" t="s">
        <v>136</v>
      </c>
      <c r="C3" s="6"/>
      <c r="D3" s="6"/>
      <c r="E3" s="6"/>
      <c r="F3" s="6"/>
      <c r="G3" s="6"/>
      <c r="H3" s="4">
        <v>3000000.0</v>
      </c>
      <c r="I3" s="6"/>
      <c r="J3" s="6"/>
      <c r="K3" s="6"/>
      <c r="L3" s="6"/>
      <c r="M3" s="6"/>
      <c r="N3" s="6"/>
      <c r="O3" s="4"/>
      <c r="P3" s="4">
        <v>240000.0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4" t="s">
        <v>219</v>
      </c>
      <c r="B4" s="4" t="s">
        <v>138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>
        <v>1500000.0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4" t="s">
        <v>220</v>
      </c>
      <c r="B5" s="4" t="s">
        <v>135</v>
      </c>
      <c r="C5" s="6"/>
      <c r="D5" s="6"/>
      <c r="E5" s="6"/>
      <c r="F5" s="6"/>
      <c r="G5" s="6"/>
      <c r="H5" s="6"/>
      <c r="I5" s="6"/>
      <c r="J5" s="6"/>
      <c r="K5" s="6"/>
      <c r="L5" s="4">
        <v>50000.0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4" t="s">
        <v>221</v>
      </c>
      <c r="B6" s="4" t="s">
        <v>135</v>
      </c>
      <c r="C6" s="6"/>
      <c r="D6" s="6"/>
      <c r="E6" s="6"/>
      <c r="F6" s="6"/>
      <c r="G6" s="6"/>
      <c r="H6" s="6"/>
      <c r="I6" s="6"/>
      <c r="J6" s="6"/>
      <c r="K6" s="6"/>
      <c r="L6" s="4">
        <v>50000.0</v>
      </c>
      <c r="M6" s="6"/>
      <c r="N6" s="6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4"/>
      <c r="B7" s="4"/>
      <c r="C7" s="6"/>
      <c r="D7" s="6"/>
      <c r="E7" s="6"/>
      <c r="F7" s="6"/>
      <c r="G7" s="6"/>
      <c r="H7" s="6"/>
      <c r="I7" s="6"/>
      <c r="J7" s="6"/>
      <c r="K7" s="4"/>
      <c r="L7" s="4"/>
      <c r="M7" s="6"/>
      <c r="N7" s="6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" t="s">
        <v>222</v>
      </c>
      <c r="B8" s="4"/>
      <c r="C8" s="6"/>
      <c r="D8" s="6"/>
      <c r="E8" s="6"/>
      <c r="F8" s="6"/>
      <c r="G8" s="4">
        <v>600000.0</v>
      </c>
      <c r="H8" s="6"/>
      <c r="I8" s="6"/>
      <c r="J8" s="6"/>
      <c r="K8" s="4">
        <v>100000.0</v>
      </c>
      <c r="L8" s="4">
        <v>384000.0</v>
      </c>
      <c r="M8" s="6"/>
      <c r="N8" s="6"/>
      <c r="O8" s="4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" t="s">
        <v>223</v>
      </c>
      <c r="B9" s="4"/>
      <c r="C9" s="6"/>
      <c r="D9" s="6"/>
      <c r="E9" s="6"/>
      <c r="F9" s="6"/>
      <c r="G9" s="6"/>
      <c r="H9" s="4">
        <v>150000.0</v>
      </c>
      <c r="I9" s="6"/>
      <c r="J9" s="6"/>
      <c r="K9" s="6"/>
      <c r="L9" s="6"/>
      <c r="M9" s="6"/>
      <c r="O9" s="4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4" t="s">
        <v>224</v>
      </c>
      <c r="B10" s="4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4">
        <v>521398.0</v>
      </c>
      <c r="O10" s="4"/>
      <c r="P10" s="4">
        <v>140000.0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4"/>
      <c r="B11" s="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4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4" t="s">
        <v>225</v>
      </c>
      <c r="B12" s="4" t="s">
        <v>139</v>
      </c>
      <c r="C12" s="6"/>
      <c r="D12" s="4">
        <v>335000.0</v>
      </c>
      <c r="E12" s="4">
        <v>320000.0</v>
      </c>
      <c r="F12" s="4">
        <v>345000.0</v>
      </c>
      <c r="G12" s="4">
        <v>300000.0</v>
      </c>
      <c r="H12" s="4">
        <v>300000.0</v>
      </c>
      <c r="I12" s="4">
        <v>300000.0</v>
      </c>
      <c r="J12" s="4">
        <v>330000.0</v>
      </c>
      <c r="K12" s="4">
        <v>330000.0</v>
      </c>
      <c r="L12" s="6">
        <f>300000+120000</f>
        <v>420000</v>
      </c>
      <c r="M12" s="4">
        <v>300000.0</v>
      </c>
      <c r="N12" s="4">
        <v>300000.0</v>
      </c>
      <c r="O12" s="4">
        <v>300000.0</v>
      </c>
      <c r="P12" s="4">
        <v>320000.0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4" t="s">
        <v>226</v>
      </c>
      <c r="B13" s="4" t="s">
        <v>136</v>
      </c>
      <c r="C13" s="6"/>
      <c r="D13" s="6"/>
      <c r="E13" s="4">
        <v>500000.0</v>
      </c>
      <c r="F13" s="4">
        <v>500000.0</v>
      </c>
      <c r="G13" s="4">
        <v>500000.0</v>
      </c>
      <c r="H13" s="4">
        <v>500000.0</v>
      </c>
      <c r="I13" s="4">
        <v>500000.0</v>
      </c>
      <c r="J13" s="4">
        <v>540000.0</v>
      </c>
      <c r="K13" s="4">
        <v>500000.0</v>
      </c>
      <c r="L13" s="4">
        <v>500000.0</v>
      </c>
      <c r="M13" s="4">
        <v>500000.0</v>
      </c>
      <c r="N13" s="4">
        <v>500000.0</v>
      </c>
      <c r="O13" s="4">
        <v>500000.0</v>
      </c>
      <c r="P13" s="4">
        <v>500000.0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4" t="s">
        <v>227</v>
      </c>
      <c r="B14" s="4" t="s">
        <v>134</v>
      </c>
      <c r="C14" s="6"/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4">
        <v>1000000.0</v>
      </c>
      <c r="O14" s="4">
        <v>1000000.0</v>
      </c>
      <c r="P14" s="4">
        <v>1000000.0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7">
      <c r="A17" s="3" t="s">
        <v>228</v>
      </c>
      <c r="B17" s="4" t="s">
        <v>134</v>
      </c>
      <c r="D17" s="3">
        <v>16600.0</v>
      </c>
    </row>
    <row r="18">
      <c r="A18" s="3" t="s">
        <v>229</v>
      </c>
      <c r="B18" s="4" t="s">
        <v>134</v>
      </c>
      <c r="D18" s="3">
        <v>500.0</v>
      </c>
      <c r="E18" s="3">
        <v>500.0</v>
      </c>
      <c r="F18" s="3">
        <v>500.0</v>
      </c>
      <c r="G18" s="3">
        <v>500.0</v>
      </c>
    </row>
    <row r="19">
      <c r="A19" s="3" t="s">
        <v>230</v>
      </c>
      <c r="B19" s="4" t="s">
        <v>134</v>
      </c>
      <c r="D19" s="3">
        <v>6000.0</v>
      </c>
    </row>
    <row r="20">
      <c r="A20" s="3" t="s">
        <v>231</v>
      </c>
      <c r="B20" s="4" t="s">
        <v>134</v>
      </c>
      <c r="D20" s="3">
        <v>1000.0</v>
      </c>
      <c r="E20" s="3">
        <v>1000.0</v>
      </c>
      <c r="F20" s="3">
        <v>1000.0</v>
      </c>
      <c r="I20" s="3">
        <v>1000.0</v>
      </c>
      <c r="N20" s="3">
        <v>1000.0</v>
      </c>
      <c r="P20" s="3">
        <v>1000.0</v>
      </c>
    </row>
    <row r="21">
      <c r="A21" s="4" t="s">
        <v>232</v>
      </c>
      <c r="B21" s="4" t="s">
        <v>134</v>
      </c>
      <c r="C21" s="6"/>
      <c r="D21" s="4">
        <v>4000.0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4" t="s">
        <v>233</v>
      </c>
      <c r="B22" s="4" t="s">
        <v>136</v>
      </c>
      <c r="C22" s="6"/>
      <c r="D22" s="6"/>
      <c r="E22" s="4">
        <v>4000.0</v>
      </c>
      <c r="F22" s="6"/>
      <c r="G22" s="6"/>
      <c r="H22" s="6"/>
      <c r="I22" s="6"/>
      <c r="J22" s="6"/>
      <c r="K22" s="6"/>
      <c r="L22" s="6"/>
      <c r="M22" s="6"/>
      <c r="N22" s="4">
        <v>10000.0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4" t="s">
        <v>234</v>
      </c>
      <c r="B23" s="4" t="s">
        <v>134</v>
      </c>
      <c r="C23" s="6"/>
      <c r="D23" s="4"/>
      <c r="E23" s="6"/>
      <c r="F23" s="4">
        <v>1000.0</v>
      </c>
      <c r="G23" s="6"/>
      <c r="H23" s="4">
        <v>1000.0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4" t="s">
        <v>235</v>
      </c>
      <c r="B24" s="4" t="s">
        <v>134</v>
      </c>
      <c r="C24" s="6"/>
      <c r="D24" s="4"/>
      <c r="E24" s="6"/>
      <c r="F24" s="6"/>
      <c r="G24" s="6"/>
      <c r="H24" s="4">
        <v>400.0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4" t="s">
        <v>236</v>
      </c>
      <c r="B25" s="4" t="s">
        <v>135</v>
      </c>
      <c r="C25" s="6"/>
      <c r="D25" s="4"/>
      <c r="E25" s="6"/>
      <c r="F25" s="6"/>
      <c r="G25" s="6"/>
      <c r="H25" s="4">
        <v>10000.0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4" t="s">
        <v>237</v>
      </c>
      <c r="B26" s="4" t="s">
        <v>134</v>
      </c>
      <c r="C26" s="6"/>
      <c r="D26" s="4"/>
      <c r="E26" s="4"/>
      <c r="F26" s="4"/>
      <c r="G26" s="4"/>
      <c r="H26" s="6"/>
      <c r="I26" s="4">
        <v>2000.0</v>
      </c>
      <c r="J26" s="6"/>
      <c r="K26" s="6"/>
      <c r="L26" s="6"/>
      <c r="M26" s="4">
        <v>1000.0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4" t="s">
        <v>238</v>
      </c>
      <c r="B27" s="4" t="s">
        <v>139</v>
      </c>
      <c r="C27" s="6"/>
      <c r="D27" s="4"/>
      <c r="E27" s="4"/>
      <c r="F27" s="4"/>
      <c r="G27" s="4"/>
      <c r="H27" s="4"/>
      <c r="I27" s="6"/>
      <c r="J27" s="6"/>
      <c r="K27" s="6"/>
      <c r="L27" s="6"/>
      <c r="M27" s="4">
        <v>7000.0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4" t="s">
        <v>239</v>
      </c>
      <c r="B28" s="4" t="s">
        <v>137</v>
      </c>
      <c r="C28" s="6"/>
      <c r="D28" s="4"/>
      <c r="E28" s="4"/>
      <c r="F28" s="4"/>
      <c r="G28" s="4"/>
      <c r="H28" s="4"/>
      <c r="I28" s="4"/>
      <c r="J28" s="4"/>
      <c r="K28" s="4"/>
      <c r="L28" s="3"/>
      <c r="M28" s="4"/>
      <c r="N28" s="6"/>
      <c r="O28" s="4">
        <v>630.0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3"/>
      <c r="M29" s="4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3"/>
      <c r="M30" s="4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 t="s">
        <v>240</v>
      </c>
      <c r="B31" s="4" t="s">
        <v>136</v>
      </c>
      <c r="C31" s="6"/>
      <c r="D31" s="4">
        <v>150000.0</v>
      </c>
      <c r="E31" s="4">
        <v>150000.0</v>
      </c>
      <c r="F31" s="4">
        <v>150000.0</v>
      </c>
      <c r="G31" s="4">
        <v>150000.0</v>
      </c>
      <c r="H31" s="4">
        <v>150000.0</v>
      </c>
      <c r="I31" s="4">
        <v>150000.0</v>
      </c>
      <c r="J31" s="4">
        <v>150000.0</v>
      </c>
      <c r="K31" s="4">
        <v>150000.0</v>
      </c>
      <c r="L31" s="3">
        <v>225000.0</v>
      </c>
      <c r="M31" s="4">
        <v>225000.0</v>
      </c>
      <c r="N31" s="4">
        <v>200000.0</v>
      </c>
      <c r="O31" s="4">
        <v>200000.0</v>
      </c>
      <c r="P31" s="4">
        <v>200000.0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4" t="s">
        <v>241</v>
      </c>
      <c r="B34" s="4" t="s">
        <v>134</v>
      </c>
      <c r="C34" s="6"/>
      <c r="D34" s="4">
        <v>60000.0</v>
      </c>
      <c r="E34" s="4">
        <v>120000.0</v>
      </c>
      <c r="F34" s="4">
        <v>55000.0</v>
      </c>
      <c r="G34" s="4">
        <v>5000.0</v>
      </c>
      <c r="H34" s="4">
        <v>60000.0</v>
      </c>
      <c r="I34" s="4">
        <v>70000.0</v>
      </c>
      <c r="J34" s="4">
        <v>70000.0</v>
      </c>
      <c r="K34" s="4">
        <v>108000.0</v>
      </c>
      <c r="L34" s="4">
        <v>90000.0</v>
      </c>
      <c r="M34" s="4">
        <v>70000.0</v>
      </c>
      <c r="N34" s="4">
        <v>92000.0</v>
      </c>
      <c r="O34" s="4">
        <v>140000.0</v>
      </c>
      <c r="P34" s="6">
        <f>88000+50000</f>
        <v>138000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4"/>
      <c r="B35" s="6"/>
      <c r="C35" s="4"/>
      <c r="D35" s="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4" t="s">
        <v>242</v>
      </c>
      <c r="B36" s="4" t="s">
        <v>139</v>
      </c>
      <c r="C36" s="4"/>
      <c r="D36" s="4">
        <v>1260817.0</v>
      </c>
      <c r="E36" s="4">
        <v>1252335.0</v>
      </c>
      <c r="F36" s="4">
        <v>1234695.0</v>
      </c>
      <c r="G36" s="4">
        <v>1245834.0</v>
      </c>
      <c r="H36" s="4">
        <v>1275116.0</v>
      </c>
      <c r="I36" s="4">
        <v>1244451.0</v>
      </c>
      <c r="J36" s="4">
        <v>1227065.0</v>
      </c>
      <c r="K36" s="4">
        <v>1268887.0</v>
      </c>
      <c r="L36" s="4">
        <v>1200256.8</v>
      </c>
      <c r="M36" s="4">
        <v>1517719.0</v>
      </c>
      <c r="N36" s="4">
        <v>1107516.0</v>
      </c>
      <c r="O36" s="4">
        <v>1414345.0</v>
      </c>
      <c r="P36" s="4">
        <v>1660101.0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" t="s">
        <v>243</v>
      </c>
      <c r="D37" s="3" t="s">
        <v>244</v>
      </c>
      <c r="E37" s="3" t="s">
        <v>244</v>
      </c>
      <c r="F37" s="3" t="s">
        <v>244</v>
      </c>
      <c r="G37" s="3" t="s">
        <v>244</v>
      </c>
      <c r="H37" s="3" t="s">
        <v>244</v>
      </c>
      <c r="I37" s="3" t="s">
        <v>244</v>
      </c>
      <c r="J37" s="3" t="s">
        <v>244</v>
      </c>
      <c r="K37" s="3" t="s">
        <v>244</v>
      </c>
      <c r="L37" s="3" t="s">
        <v>245</v>
      </c>
      <c r="M37" s="3" t="s">
        <v>246</v>
      </c>
      <c r="N37" s="3" t="s">
        <v>245</v>
      </c>
      <c r="O37" s="3" t="s">
        <v>245</v>
      </c>
      <c r="P37" s="3" t="s">
        <v>245</v>
      </c>
    </row>
    <row r="38">
      <c r="A38" s="3" t="s">
        <v>247</v>
      </c>
      <c r="M38" s="4">
        <v>80000.0</v>
      </c>
    </row>
    <row r="39">
      <c r="A39" s="3" t="s">
        <v>248</v>
      </c>
      <c r="M39" s="4">
        <v>3000.0</v>
      </c>
      <c r="N39" s="4">
        <v>3000.0</v>
      </c>
      <c r="O39" s="3">
        <v>3000.0</v>
      </c>
      <c r="P39" s="3">
        <v>3000.0</v>
      </c>
    </row>
  </sheetData>
  <drawing r:id="rId1"/>
</worksheet>
</file>